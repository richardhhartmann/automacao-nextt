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stk\Desktop\dev\automacao-nextt\"/>
    </mc:Choice>
  </mc:AlternateContent>
  <xr:revisionPtr revIDLastSave="0" documentId="13_ncr:1_{7283FC59-A3FC-41F8-ADB3-1A01F21375E5}" xr6:coauthVersionLast="47" xr6:coauthVersionMax="47" xr10:uidLastSave="{00000000-0000-0000-0000-000000000000}"/>
  <bookViews>
    <workbookView xWindow="-120" yWindow="-120" windowWidth="20730" windowHeight="11040" firstSheet="1" activeTab="1" xr2:uid="{00000000-000D-0000-FFFF-FFFF00000000}"/>
  </bookViews>
  <sheets>
    <sheet name="Nextt" sheetId="1" r:id="rId1"/>
    <sheet name="Cadastro de Produtos" sheetId="2" r:id="rId2"/>
    <sheet name="Cadastro de Pedidos" sheetId="3" r:id="rId3"/>
    <sheet name="Cadastro de Marcas" sheetId="4" r:id="rId4"/>
    <sheet name="Dados Consolidados" sheetId="5" r:id="rId5"/>
  </sheets>
  <calcPr calcId="181029"/>
</workbook>
</file>

<file path=xl/calcChain.xml><?xml version="1.0" encoding="utf-8"?>
<calcChain xmlns="http://schemas.openxmlformats.org/spreadsheetml/2006/main">
  <c r="Y7" i="2" l="1"/>
  <c r="Z7" i="2"/>
  <c r="AA7" i="2"/>
  <c r="AB7" i="2"/>
  <c r="AC7" i="2"/>
  <c r="AD7" i="2"/>
  <c r="Y8" i="2"/>
  <c r="Z8" i="2"/>
  <c r="AA8" i="2"/>
  <c r="AB8" i="2"/>
  <c r="AC8" i="2"/>
  <c r="AD8" i="2"/>
  <c r="Y9" i="2"/>
  <c r="Z9" i="2"/>
  <c r="AA9" i="2"/>
  <c r="AB9" i="2"/>
  <c r="AC9" i="2"/>
  <c r="AD9" i="2"/>
  <c r="Y10" i="2"/>
  <c r="Z10" i="2"/>
  <c r="AA10" i="2"/>
  <c r="AB10" i="2"/>
  <c r="AC10" i="2"/>
  <c r="AD10" i="2"/>
  <c r="Y11" i="2"/>
  <c r="Z11" i="2"/>
  <c r="AA11" i="2"/>
  <c r="AB11" i="2"/>
  <c r="AC11" i="2"/>
  <c r="AD11" i="2"/>
  <c r="Y12" i="2"/>
  <c r="Z12" i="2"/>
  <c r="AA12" i="2"/>
  <c r="AB12" i="2"/>
  <c r="AC12" i="2"/>
  <c r="AD12" i="2"/>
  <c r="Y13" i="2"/>
  <c r="Z13" i="2"/>
  <c r="AA13" i="2"/>
  <c r="AB13" i="2"/>
  <c r="AC13" i="2"/>
  <c r="AD13" i="2"/>
  <c r="Y14" i="2"/>
  <c r="Z14" i="2"/>
  <c r="AA14" i="2"/>
  <c r="AB14" i="2"/>
  <c r="AC14" i="2"/>
  <c r="AD14" i="2"/>
  <c r="Y15" i="2"/>
  <c r="Z15" i="2"/>
  <c r="AA15" i="2"/>
  <c r="AB15" i="2"/>
  <c r="AC15" i="2"/>
  <c r="AD15" i="2"/>
  <c r="Y16" i="2"/>
  <c r="Z16" i="2"/>
  <c r="AA16" i="2"/>
  <c r="AB16" i="2"/>
  <c r="AC16" i="2"/>
  <c r="AD16" i="2"/>
  <c r="Y17" i="2"/>
  <c r="Z17" i="2"/>
  <c r="AA17" i="2"/>
  <c r="AB17" i="2"/>
  <c r="AC17" i="2"/>
  <c r="AD17" i="2"/>
  <c r="Y18" i="2"/>
  <c r="Z18" i="2"/>
  <c r="AA18" i="2"/>
  <c r="AB18" i="2"/>
  <c r="AC18" i="2"/>
  <c r="AD18" i="2"/>
  <c r="Y19" i="2"/>
  <c r="Z19" i="2"/>
  <c r="AA19" i="2"/>
  <c r="AB19" i="2"/>
  <c r="AC19" i="2"/>
  <c r="AD19" i="2"/>
  <c r="Y20" i="2"/>
  <c r="Z20" i="2"/>
  <c r="AA20" i="2"/>
  <c r="AB20" i="2"/>
  <c r="AC20" i="2"/>
  <c r="AD20" i="2"/>
  <c r="Y21" i="2"/>
  <c r="Z21" i="2"/>
  <c r="AA21" i="2"/>
  <c r="AB21" i="2"/>
  <c r="AC21" i="2"/>
  <c r="AD21" i="2"/>
  <c r="Y22" i="2"/>
  <c r="Z22" i="2"/>
  <c r="AA22" i="2"/>
  <c r="AB22" i="2"/>
  <c r="AC22" i="2"/>
  <c r="AD22" i="2"/>
  <c r="Y23" i="2"/>
  <c r="Z23" i="2"/>
  <c r="AA23" i="2"/>
  <c r="AB23" i="2"/>
  <c r="AC23" i="2"/>
  <c r="AD23" i="2"/>
  <c r="Y24" i="2"/>
  <c r="Z24" i="2"/>
  <c r="AA24" i="2"/>
  <c r="AB24" i="2"/>
  <c r="AC24" i="2"/>
  <c r="AD24" i="2"/>
  <c r="Y25" i="2"/>
  <c r="Z25" i="2"/>
  <c r="AA25" i="2"/>
  <c r="AB25" i="2"/>
  <c r="AC25" i="2"/>
  <c r="AD25" i="2"/>
  <c r="Y26" i="2"/>
  <c r="Z26" i="2"/>
  <c r="AA26" i="2"/>
  <c r="AB26" i="2"/>
  <c r="AC26" i="2"/>
  <c r="AD26" i="2"/>
  <c r="Y27" i="2"/>
  <c r="Z27" i="2"/>
  <c r="AA27" i="2"/>
  <c r="AB27" i="2"/>
  <c r="AC27" i="2"/>
  <c r="AD27" i="2"/>
  <c r="Y28" i="2"/>
  <c r="Z28" i="2"/>
  <c r="AA28" i="2"/>
  <c r="AB28" i="2"/>
  <c r="AC28" i="2"/>
  <c r="AD28" i="2"/>
  <c r="Y29" i="2"/>
  <c r="Z29" i="2"/>
  <c r="AA29" i="2"/>
  <c r="AB29" i="2"/>
  <c r="AC29" i="2"/>
  <c r="AD29" i="2"/>
  <c r="Y30" i="2"/>
  <c r="Z30" i="2"/>
  <c r="AA30" i="2"/>
  <c r="AB30" i="2"/>
  <c r="AC30" i="2"/>
  <c r="AD30" i="2"/>
  <c r="Y31" i="2"/>
  <c r="Z31" i="2"/>
  <c r="AA31" i="2"/>
  <c r="AB31" i="2"/>
  <c r="AC31" i="2"/>
  <c r="AD31" i="2"/>
  <c r="Y32" i="2"/>
  <c r="Z32" i="2"/>
  <c r="AA32" i="2"/>
  <c r="AB32" i="2"/>
  <c r="AC32" i="2"/>
  <c r="AD32" i="2"/>
  <c r="Y33" i="2"/>
  <c r="Z33" i="2"/>
  <c r="AA33" i="2"/>
  <c r="AB33" i="2"/>
  <c r="AC33" i="2"/>
  <c r="AD33" i="2"/>
  <c r="Y34" i="2"/>
  <c r="Z34" i="2"/>
  <c r="AA34" i="2"/>
  <c r="AB34" i="2"/>
  <c r="AC34" i="2"/>
  <c r="AD34" i="2"/>
  <c r="Y35" i="2"/>
  <c r="Z35" i="2"/>
  <c r="AA35" i="2"/>
  <c r="AB35" i="2"/>
  <c r="AC35" i="2"/>
  <c r="AD35" i="2"/>
  <c r="Y36" i="2"/>
  <c r="Z36" i="2"/>
  <c r="AA36" i="2"/>
  <c r="AB36" i="2"/>
  <c r="AC36" i="2"/>
  <c r="AD36" i="2"/>
  <c r="Y37" i="2"/>
  <c r="Z37" i="2"/>
  <c r="AA37" i="2"/>
  <c r="AB37" i="2"/>
  <c r="AC37" i="2"/>
  <c r="AD37" i="2"/>
  <c r="Y38" i="2"/>
  <c r="Z38" i="2"/>
  <c r="AA38" i="2"/>
  <c r="AB38" i="2"/>
  <c r="AC38" i="2"/>
  <c r="AD38" i="2"/>
  <c r="Y39" i="2"/>
  <c r="Z39" i="2"/>
  <c r="AA39" i="2"/>
  <c r="AB39" i="2"/>
  <c r="AC39" i="2"/>
  <c r="AD39" i="2"/>
  <c r="Y40" i="2"/>
  <c r="Z40" i="2"/>
  <c r="AA40" i="2"/>
  <c r="AB40" i="2"/>
  <c r="AC40" i="2"/>
  <c r="AD40" i="2"/>
  <c r="Y41" i="2"/>
  <c r="Z41" i="2"/>
  <c r="AA41" i="2"/>
  <c r="AB41" i="2"/>
  <c r="AC41" i="2"/>
  <c r="AD41" i="2"/>
  <c r="Y42" i="2"/>
  <c r="Z42" i="2"/>
  <c r="AA42" i="2"/>
  <c r="AB42" i="2"/>
  <c r="AC42" i="2"/>
  <c r="AD42" i="2"/>
  <c r="Y43" i="2"/>
  <c r="Z43" i="2"/>
  <c r="AA43" i="2"/>
  <c r="AB43" i="2"/>
  <c r="AC43" i="2"/>
  <c r="AD43" i="2"/>
  <c r="Y44" i="2"/>
  <c r="Z44" i="2"/>
  <c r="AA44" i="2"/>
  <c r="AB44" i="2"/>
  <c r="AC44" i="2"/>
  <c r="AD44" i="2"/>
  <c r="Y45" i="2"/>
  <c r="Z45" i="2"/>
  <c r="AA45" i="2"/>
  <c r="AB45" i="2"/>
  <c r="AC45" i="2"/>
  <c r="AD45" i="2"/>
  <c r="Y46" i="2"/>
  <c r="Z46" i="2"/>
  <c r="AA46" i="2"/>
  <c r="AB46" i="2"/>
  <c r="AC46" i="2"/>
  <c r="AD46" i="2"/>
  <c r="Y47" i="2"/>
  <c r="Z47" i="2"/>
  <c r="AA47" i="2"/>
  <c r="AB47" i="2"/>
  <c r="AC47" i="2"/>
  <c r="AD47" i="2"/>
  <c r="Y48" i="2"/>
  <c r="Z48" i="2"/>
  <c r="AA48" i="2"/>
  <c r="AB48" i="2"/>
  <c r="AC48" i="2"/>
  <c r="AD48" i="2"/>
  <c r="Y49" i="2"/>
  <c r="Z49" i="2"/>
  <c r="AA49" i="2"/>
  <c r="AB49" i="2"/>
  <c r="AC49" i="2"/>
  <c r="AD49" i="2"/>
  <c r="Y50" i="2"/>
  <c r="Z50" i="2"/>
  <c r="AA50" i="2"/>
  <c r="AB50" i="2"/>
  <c r="AC50" i="2"/>
  <c r="AD50" i="2"/>
  <c r="Y51" i="2"/>
  <c r="Z51" i="2"/>
  <c r="AA51" i="2"/>
  <c r="AB51" i="2"/>
  <c r="AC51" i="2"/>
  <c r="AD51" i="2"/>
  <c r="Y52" i="2"/>
  <c r="Z52" i="2"/>
  <c r="AA52" i="2"/>
  <c r="AB52" i="2"/>
  <c r="AC52" i="2"/>
  <c r="AD52" i="2"/>
  <c r="Y53" i="2"/>
  <c r="Z53" i="2"/>
  <c r="AA53" i="2"/>
  <c r="AB53" i="2"/>
  <c r="AC53" i="2"/>
  <c r="AD53" i="2"/>
  <c r="Y54" i="2"/>
  <c r="Z54" i="2"/>
  <c r="AA54" i="2"/>
  <c r="AB54" i="2"/>
  <c r="AC54" i="2"/>
  <c r="AD54" i="2"/>
  <c r="Y55" i="2"/>
  <c r="Z55" i="2"/>
  <c r="AA55" i="2"/>
  <c r="AB55" i="2"/>
  <c r="AC55" i="2"/>
  <c r="AD55" i="2"/>
  <c r="Y56" i="2"/>
  <c r="Z56" i="2"/>
  <c r="AA56" i="2"/>
  <c r="AB56" i="2"/>
  <c r="AC56" i="2"/>
  <c r="AD56" i="2"/>
  <c r="Y57" i="2"/>
  <c r="Z57" i="2"/>
  <c r="AA57" i="2"/>
  <c r="AB57" i="2"/>
  <c r="AC57" i="2"/>
  <c r="AD57" i="2"/>
  <c r="Y58" i="2"/>
  <c r="Z58" i="2"/>
  <c r="AA58" i="2"/>
  <c r="AB58" i="2"/>
  <c r="AC58" i="2"/>
  <c r="AD58" i="2"/>
  <c r="Y59" i="2"/>
  <c r="Z59" i="2"/>
  <c r="AA59" i="2"/>
  <c r="AB59" i="2"/>
  <c r="AC59" i="2"/>
  <c r="AD59" i="2"/>
  <c r="Y60" i="2"/>
  <c r="Z60" i="2"/>
  <c r="AA60" i="2"/>
  <c r="AB60" i="2"/>
  <c r="AC60" i="2"/>
  <c r="AD60" i="2"/>
  <c r="Y61" i="2"/>
  <c r="Z61" i="2"/>
  <c r="AA61" i="2"/>
  <c r="AB61" i="2"/>
  <c r="AC61" i="2"/>
  <c r="AD61" i="2"/>
  <c r="Y62" i="2"/>
  <c r="Z62" i="2"/>
  <c r="AA62" i="2"/>
  <c r="AB62" i="2"/>
  <c r="AC62" i="2"/>
  <c r="AD62" i="2"/>
  <c r="Y63" i="2"/>
  <c r="Z63" i="2"/>
  <c r="AA63" i="2"/>
  <c r="AB63" i="2"/>
  <c r="AC63" i="2"/>
  <c r="AD63" i="2"/>
  <c r="Y64" i="2"/>
  <c r="Z64" i="2"/>
  <c r="AA64" i="2"/>
  <c r="AB64" i="2"/>
  <c r="AC64" i="2"/>
  <c r="AD64" i="2"/>
  <c r="Y65" i="2"/>
  <c r="Z65" i="2"/>
  <c r="AA65" i="2"/>
  <c r="AB65" i="2"/>
  <c r="AC65" i="2"/>
  <c r="AD65" i="2"/>
  <c r="Y66" i="2"/>
  <c r="Z66" i="2"/>
  <c r="AA66" i="2"/>
  <c r="AB66" i="2"/>
  <c r="AC66" i="2"/>
  <c r="AD66" i="2"/>
  <c r="Y67" i="2"/>
  <c r="Z67" i="2"/>
  <c r="AA67" i="2"/>
  <c r="AB67" i="2"/>
  <c r="AC67" i="2"/>
  <c r="AD67" i="2"/>
  <c r="Y68" i="2"/>
  <c r="Z68" i="2"/>
  <c r="AA68" i="2"/>
  <c r="AB68" i="2"/>
  <c r="AC68" i="2"/>
  <c r="AD68" i="2"/>
  <c r="Y69" i="2"/>
  <c r="Z69" i="2"/>
  <c r="AA69" i="2"/>
  <c r="AB69" i="2"/>
  <c r="AC69" i="2"/>
  <c r="AD69" i="2"/>
  <c r="Y70" i="2"/>
  <c r="Z70" i="2"/>
  <c r="AA70" i="2"/>
  <c r="AB70" i="2"/>
  <c r="AC70" i="2"/>
  <c r="AD70" i="2"/>
  <c r="Y71" i="2"/>
  <c r="Z71" i="2"/>
  <c r="AA71" i="2"/>
  <c r="AB71" i="2"/>
  <c r="AC71" i="2"/>
  <c r="AD71" i="2"/>
  <c r="Y72" i="2"/>
  <c r="Z72" i="2"/>
  <c r="AA72" i="2"/>
  <c r="AB72" i="2"/>
  <c r="AC72" i="2"/>
  <c r="AD72" i="2"/>
  <c r="Y73" i="2"/>
  <c r="Z73" i="2"/>
  <c r="AA73" i="2"/>
  <c r="AB73" i="2"/>
  <c r="AC73" i="2"/>
  <c r="AD73" i="2"/>
  <c r="Y74" i="2"/>
  <c r="Z74" i="2"/>
  <c r="AA74" i="2"/>
  <c r="AB74" i="2"/>
  <c r="AC74" i="2"/>
  <c r="AD74" i="2"/>
  <c r="Y75" i="2"/>
  <c r="Z75" i="2"/>
  <c r="AA75" i="2"/>
  <c r="AB75" i="2"/>
  <c r="AC75" i="2"/>
  <c r="AD75" i="2"/>
  <c r="Y76" i="2"/>
  <c r="Z76" i="2"/>
  <c r="AA76" i="2"/>
  <c r="AB76" i="2"/>
  <c r="AC76" i="2"/>
  <c r="AD76" i="2"/>
  <c r="Y77" i="2"/>
  <c r="Z77" i="2"/>
  <c r="AA77" i="2"/>
  <c r="AB77" i="2"/>
  <c r="AC77" i="2"/>
  <c r="AD77" i="2"/>
  <c r="Y78" i="2"/>
  <c r="Z78" i="2"/>
  <c r="AA78" i="2"/>
  <c r="AB78" i="2"/>
  <c r="AC78" i="2"/>
  <c r="AD78" i="2"/>
  <c r="Y79" i="2"/>
  <c r="Z79" i="2"/>
  <c r="AA79" i="2"/>
  <c r="AB79" i="2"/>
  <c r="AC79" i="2"/>
  <c r="AD79" i="2"/>
  <c r="Y80" i="2"/>
  <c r="Z80" i="2"/>
  <c r="AA80" i="2"/>
  <c r="AB80" i="2"/>
  <c r="AC80" i="2"/>
  <c r="AD80" i="2"/>
  <c r="Y81" i="2"/>
  <c r="Z81" i="2"/>
  <c r="AA81" i="2"/>
  <c r="AB81" i="2"/>
  <c r="AC81" i="2"/>
  <c r="AD81" i="2"/>
  <c r="Y82" i="2"/>
  <c r="Z82" i="2"/>
  <c r="AA82" i="2"/>
  <c r="AB82" i="2"/>
  <c r="AC82" i="2"/>
  <c r="AD82" i="2"/>
  <c r="Y83" i="2"/>
  <c r="Z83" i="2"/>
  <c r="AA83" i="2"/>
  <c r="AB83" i="2"/>
  <c r="AC83" i="2"/>
  <c r="AD83" i="2"/>
  <c r="Y84" i="2"/>
  <c r="Z84" i="2"/>
  <c r="AA84" i="2"/>
  <c r="AB84" i="2"/>
  <c r="AC84" i="2"/>
  <c r="AD84" i="2"/>
  <c r="Y85" i="2"/>
  <c r="Z85" i="2"/>
  <c r="AA85" i="2"/>
  <c r="AB85" i="2"/>
  <c r="AC85" i="2"/>
  <c r="AD85" i="2"/>
  <c r="Y86" i="2"/>
  <c r="Z86" i="2"/>
  <c r="AA86" i="2"/>
  <c r="AB86" i="2"/>
  <c r="AC86" i="2"/>
  <c r="AD86" i="2"/>
  <c r="Y87" i="2"/>
  <c r="Z87" i="2"/>
  <c r="AA87" i="2"/>
  <c r="AB87" i="2"/>
  <c r="AC87" i="2"/>
  <c r="AD87" i="2"/>
  <c r="Y88" i="2"/>
  <c r="Z88" i="2"/>
  <c r="AA88" i="2"/>
  <c r="AB88" i="2"/>
  <c r="AC88" i="2"/>
  <c r="AD88" i="2"/>
  <c r="Y89" i="2"/>
  <c r="Z89" i="2"/>
  <c r="AA89" i="2"/>
  <c r="AB89" i="2"/>
  <c r="AC89" i="2"/>
  <c r="AD89" i="2"/>
  <c r="Y90" i="2"/>
  <c r="Z90" i="2"/>
  <c r="AA90" i="2"/>
  <c r="AB90" i="2"/>
  <c r="AC90" i="2"/>
  <c r="AD90" i="2"/>
  <c r="Y91" i="2"/>
  <c r="Z91" i="2"/>
  <c r="AA91" i="2"/>
  <c r="AB91" i="2"/>
  <c r="AC91" i="2"/>
  <c r="AD91" i="2"/>
  <c r="Y92" i="2"/>
  <c r="Z92" i="2"/>
  <c r="AA92" i="2"/>
  <c r="AB92" i="2"/>
  <c r="AC92" i="2"/>
  <c r="AD92" i="2"/>
  <c r="Y93" i="2"/>
  <c r="Z93" i="2"/>
  <c r="AA93" i="2"/>
  <c r="AB93" i="2"/>
  <c r="AC93" i="2"/>
  <c r="AD93" i="2"/>
  <c r="Y94" i="2"/>
  <c r="Z94" i="2"/>
  <c r="AA94" i="2"/>
  <c r="AB94" i="2"/>
  <c r="AC94" i="2"/>
  <c r="AD94" i="2"/>
  <c r="Y95" i="2"/>
  <c r="Z95" i="2"/>
  <c r="AA95" i="2"/>
  <c r="AB95" i="2"/>
  <c r="AC95" i="2"/>
  <c r="AD95" i="2"/>
  <c r="Y96" i="2"/>
  <c r="Z96" i="2"/>
  <c r="AA96" i="2"/>
  <c r="AB96" i="2"/>
  <c r="AC96" i="2"/>
  <c r="AD96" i="2"/>
  <c r="Y97" i="2"/>
  <c r="Z97" i="2"/>
  <c r="AA97" i="2"/>
  <c r="AB97" i="2"/>
  <c r="AC97" i="2"/>
  <c r="AD97" i="2"/>
  <c r="Y98" i="2"/>
  <c r="Z98" i="2"/>
  <c r="AA98" i="2"/>
  <c r="AB98" i="2"/>
  <c r="AC98" i="2"/>
  <c r="AD98" i="2"/>
  <c r="Y99" i="2"/>
  <c r="Z99" i="2"/>
  <c r="AA99" i="2"/>
  <c r="AB99" i="2"/>
  <c r="AC99" i="2"/>
  <c r="AD99" i="2"/>
  <c r="Y100" i="2"/>
  <c r="Z100" i="2"/>
  <c r="AA100" i="2"/>
  <c r="AB100" i="2"/>
  <c r="AC100" i="2"/>
  <c r="AD100" i="2"/>
  <c r="Y101" i="2"/>
  <c r="Z101" i="2"/>
  <c r="AA101" i="2"/>
  <c r="AB101" i="2"/>
  <c r="AC101" i="2"/>
  <c r="AD101" i="2"/>
  <c r="Y102" i="2"/>
  <c r="Z102" i="2"/>
  <c r="AA102" i="2"/>
  <c r="AB102" i="2"/>
  <c r="AC102" i="2"/>
  <c r="AD102" i="2"/>
  <c r="Y103" i="2"/>
  <c r="Z103" i="2"/>
  <c r="AA103" i="2"/>
  <c r="AB103" i="2"/>
  <c r="AC103" i="2"/>
  <c r="AD103" i="2"/>
  <c r="Y104" i="2"/>
  <c r="Z104" i="2"/>
  <c r="AA104" i="2"/>
  <c r="AB104" i="2"/>
  <c r="AC104" i="2"/>
  <c r="AD104" i="2"/>
  <c r="Y105" i="2"/>
  <c r="Z105" i="2"/>
  <c r="AA105" i="2"/>
  <c r="AB105" i="2"/>
  <c r="AC105" i="2"/>
  <c r="AD105" i="2"/>
  <c r="Y106" i="2"/>
  <c r="Z106" i="2"/>
  <c r="AA106" i="2"/>
  <c r="AB106" i="2"/>
  <c r="AC106" i="2"/>
  <c r="AD106" i="2"/>
  <c r="Y107" i="2"/>
  <c r="Z107" i="2"/>
  <c r="AA107" i="2"/>
  <c r="AB107" i="2"/>
  <c r="AC107" i="2"/>
  <c r="AD107" i="2"/>
  <c r="Y108" i="2"/>
  <c r="Z108" i="2"/>
  <c r="AA108" i="2"/>
  <c r="AB108" i="2"/>
  <c r="AC108" i="2"/>
  <c r="AD108" i="2"/>
  <c r="Y109" i="2"/>
  <c r="Z109" i="2"/>
  <c r="AA109" i="2"/>
  <c r="AB109" i="2"/>
  <c r="AC109" i="2"/>
  <c r="AD109" i="2"/>
  <c r="Y110" i="2"/>
  <c r="Z110" i="2"/>
  <c r="AA110" i="2"/>
  <c r="AB110" i="2"/>
  <c r="AC110" i="2"/>
  <c r="AD110" i="2"/>
  <c r="Y111" i="2"/>
  <c r="Z111" i="2"/>
  <c r="AA111" i="2"/>
  <c r="AB111" i="2"/>
  <c r="AC111" i="2"/>
  <c r="AD111" i="2"/>
  <c r="Y112" i="2"/>
  <c r="Z112" i="2"/>
  <c r="AA112" i="2"/>
  <c r="AB112" i="2"/>
  <c r="AC112" i="2"/>
  <c r="AD112" i="2"/>
  <c r="Y113" i="2"/>
  <c r="Z113" i="2"/>
  <c r="AA113" i="2"/>
  <c r="AB113" i="2"/>
  <c r="AC113" i="2"/>
  <c r="AD113" i="2"/>
  <c r="Y114" i="2"/>
  <c r="Z114" i="2"/>
  <c r="AA114" i="2"/>
  <c r="AB114" i="2"/>
  <c r="AC114" i="2"/>
  <c r="AD114" i="2"/>
  <c r="Y115" i="2"/>
  <c r="Z115" i="2"/>
  <c r="AA115" i="2"/>
  <c r="AB115" i="2"/>
  <c r="AC115" i="2"/>
  <c r="AD115" i="2"/>
  <c r="Y116" i="2"/>
  <c r="Z116" i="2"/>
  <c r="AA116" i="2"/>
  <c r="AB116" i="2"/>
  <c r="AC116" i="2"/>
  <c r="AD116" i="2"/>
  <c r="Y117" i="2"/>
  <c r="Z117" i="2"/>
  <c r="AA117" i="2"/>
  <c r="AB117" i="2"/>
  <c r="AC117" i="2"/>
  <c r="AD117" i="2"/>
  <c r="Y118" i="2"/>
  <c r="Z118" i="2"/>
  <c r="AA118" i="2"/>
  <c r="AB118" i="2"/>
  <c r="AC118" i="2"/>
  <c r="AD118" i="2"/>
  <c r="Y119" i="2"/>
  <c r="Z119" i="2"/>
  <c r="AA119" i="2"/>
  <c r="AB119" i="2"/>
  <c r="AC119" i="2"/>
  <c r="AD119" i="2"/>
  <c r="Y120" i="2"/>
  <c r="Z120" i="2"/>
  <c r="AA120" i="2"/>
  <c r="AB120" i="2"/>
  <c r="AC120" i="2"/>
  <c r="AD120" i="2"/>
  <c r="Y121" i="2"/>
  <c r="Z121" i="2"/>
  <c r="AA121" i="2"/>
  <c r="AB121" i="2"/>
  <c r="AC121" i="2"/>
  <c r="AD121" i="2"/>
  <c r="Y122" i="2"/>
  <c r="Z122" i="2"/>
  <c r="AA122" i="2"/>
  <c r="AB122" i="2"/>
  <c r="AC122" i="2"/>
  <c r="AD122" i="2"/>
  <c r="Y123" i="2"/>
  <c r="Z123" i="2"/>
  <c r="AA123" i="2"/>
  <c r="AB123" i="2"/>
  <c r="AC123" i="2"/>
  <c r="AD123" i="2"/>
  <c r="Y124" i="2"/>
  <c r="Z124" i="2"/>
  <c r="AA124" i="2"/>
  <c r="AB124" i="2"/>
  <c r="AC124" i="2"/>
  <c r="AD124" i="2"/>
  <c r="Y125" i="2"/>
  <c r="Z125" i="2"/>
  <c r="AA125" i="2"/>
  <c r="AB125" i="2"/>
  <c r="AC125" i="2"/>
  <c r="AD125" i="2"/>
  <c r="Y126" i="2"/>
  <c r="Z126" i="2"/>
  <c r="AA126" i="2"/>
  <c r="AB126" i="2"/>
  <c r="AC126" i="2"/>
  <c r="AD126" i="2"/>
  <c r="Y127" i="2"/>
  <c r="Z127" i="2"/>
  <c r="AA127" i="2"/>
  <c r="AB127" i="2"/>
  <c r="AC127" i="2"/>
  <c r="AD127" i="2"/>
  <c r="Y128" i="2"/>
  <c r="Z128" i="2"/>
  <c r="AA128" i="2"/>
  <c r="AB128" i="2"/>
  <c r="AC128" i="2"/>
  <c r="AD128" i="2"/>
  <c r="Y129" i="2"/>
  <c r="Z129" i="2"/>
  <c r="AA129" i="2"/>
  <c r="AB129" i="2"/>
  <c r="AC129" i="2"/>
  <c r="AD129" i="2"/>
  <c r="Y130" i="2"/>
  <c r="Z130" i="2"/>
  <c r="AA130" i="2"/>
  <c r="AB130" i="2"/>
  <c r="AC130" i="2"/>
  <c r="AD130" i="2"/>
  <c r="Y131" i="2"/>
  <c r="Z131" i="2"/>
  <c r="AA131" i="2"/>
  <c r="AB131" i="2"/>
  <c r="AC131" i="2"/>
  <c r="AD131" i="2"/>
  <c r="Y132" i="2"/>
  <c r="Z132" i="2"/>
  <c r="AA132" i="2"/>
  <c r="AB132" i="2"/>
  <c r="AC132" i="2"/>
  <c r="AD132" i="2"/>
  <c r="Y133" i="2"/>
  <c r="Z133" i="2"/>
  <c r="AA133" i="2"/>
  <c r="AB133" i="2"/>
  <c r="AC133" i="2"/>
  <c r="AD133" i="2"/>
  <c r="Y134" i="2"/>
  <c r="Z134" i="2"/>
  <c r="AA134" i="2"/>
  <c r="AB134" i="2"/>
  <c r="AC134" i="2"/>
  <c r="AD134" i="2"/>
  <c r="Y135" i="2"/>
  <c r="Z135" i="2"/>
  <c r="AA135" i="2"/>
  <c r="AB135" i="2"/>
  <c r="AC135" i="2"/>
  <c r="AD135" i="2"/>
  <c r="Y136" i="2"/>
  <c r="Z136" i="2"/>
  <c r="AA136" i="2"/>
  <c r="AB136" i="2"/>
  <c r="AC136" i="2"/>
  <c r="AD136" i="2"/>
  <c r="Y137" i="2"/>
  <c r="Z137" i="2"/>
  <c r="AA137" i="2"/>
  <c r="AB137" i="2"/>
  <c r="AC137" i="2"/>
  <c r="AD137" i="2"/>
  <c r="Y138" i="2"/>
  <c r="Z138" i="2"/>
  <c r="AA138" i="2"/>
  <c r="AB138" i="2"/>
  <c r="AC138" i="2"/>
  <c r="AD138" i="2"/>
  <c r="Y139" i="2"/>
  <c r="Z139" i="2"/>
  <c r="AA139" i="2"/>
  <c r="AB139" i="2"/>
  <c r="AC139" i="2"/>
  <c r="AD139" i="2"/>
  <c r="Y140" i="2"/>
  <c r="Z140" i="2"/>
  <c r="AA140" i="2"/>
  <c r="AB140" i="2"/>
  <c r="AC140" i="2"/>
  <c r="AD140" i="2"/>
  <c r="Y141" i="2"/>
  <c r="Z141" i="2"/>
  <c r="AA141" i="2"/>
  <c r="AB141" i="2"/>
  <c r="AC141" i="2"/>
  <c r="AD141" i="2"/>
  <c r="Y142" i="2"/>
  <c r="Z142" i="2"/>
  <c r="AA142" i="2"/>
  <c r="AB142" i="2"/>
  <c r="AC142" i="2"/>
  <c r="AD142" i="2"/>
  <c r="Y143" i="2"/>
  <c r="Z143" i="2"/>
  <c r="AA143" i="2"/>
  <c r="AB143" i="2"/>
  <c r="AC143" i="2"/>
  <c r="AD143" i="2"/>
  <c r="Y144" i="2"/>
  <c r="Z144" i="2"/>
  <c r="AA144" i="2"/>
  <c r="AB144" i="2"/>
  <c r="AC144" i="2"/>
  <c r="AD144" i="2"/>
  <c r="Y145" i="2"/>
  <c r="Z145" i="2"/>
  <c r="AA145" i="2"/>
  <c r="AB145" i="2"/>
  <c r="AC145" i="2"/>
  <c r="AD145" i="2"/>
  <c r="Y146" i="2"/>
  <c r="Z146" i="2"/>
  <c r="AA146" i="2"/>
  <c r="AB146" i="2"/>
  <c r="AC146" i="2"/>
  <c r="AD146" i="2"/>
  <c r="Y147" i="2"/>
  <c r="Z147" i="2"/>
  <c r="AA147" i="2"/>
  <c r="AB147" i="2"/>
  <c r="AC147" i="2"/>
  <c r="AD147" i="2"/>
  <c r="Y148" i="2"/>
  <c r="Z148" i="2"/>
  <c r="AA148" i="2"/>
  <c r="AB148" i="2"/>
  <c r="AC148" i="2"/>
  <c r="AD148" i="2"/>
  <c r="Y149" i="2"/>
  <c r="Z149" i="2"/>
  <c r="AA149" i="2"/>
  <c r="AB149" i="2"/>
  <c r="AC149" i="2"/>
  <c r="AD149" i="2"/>
  <c r="Y150" i="2"/>
  <c r="Z150" i="2"/>
  <c r="AA150" i="2"/>
  <c r="AB150" i="2"/>
  <c r="AC150" i="2"/>
  <c r="AD150" i="2"/>
  <c r="Y151" i="2"/>
  <c r="Z151" i="2"/>
  <c r="AA151" i="2"/>
  <c r="AB151" i="2"/>
  <c r="AC151" i="2"/>
  <c r="AD151" i="2"/>
  <c r="Y152" i="2"/>
  <c r="Z152" i="2"/>
  <c r="AA152" i="2"/>
  <c r="AB152" i="2"/>
  <c r="AC152" i="2"/>
  <c r="AD152" i="2"/>
  <c r="Y153" i="2"/>
  <c r="Z153" i="2"/>
  <c r="AA153" i="2"/>
  <c r="AB153" i="2"/>
  <c r="AC153" i="2"/>
  <c r="AD153" i="2"/>
  <c r="Y154" i="2"/>
  <c r="Z154" i="2"/>
  <c r="AA154" i="2"/>
  <c r="AB154" i="2"/>
  <c r="AC154" i="2"/>
  <c r="AD154" i="2"/>
  <c r="Y155" i="2"/>
  <c r="Z155" i="2"/>
  <c r="AA155" i="2"/>
  <c r="AB155" i="2"/>
  <c r="AC155" i="2"/>
  <c r="AD155" i="2"/>
  <c r="Y156" i="2"/>
  <c r="Z156" i="2"/>
  <c r="AA156" i="2"/>
  <c r="AB156" i="2"/>
  <c r="AC156" i="2"/>
  <c r="AD156" i="2"/>
  <c r="Y157" i="2"/>
  <c r="Z157" i="2"/>
  <c r="AA157" i="2"/>
  <c r="AB157" i="2"/>
  <c r="AC157" i="2"/>
  <c r="AD157" i="2"/>
  <c r="Y158" i="2"/>
  <c r="Z158" i="2"/>
  <c r="AA158" i="2"/>
  <c r="AB158" i="2"/>
  <c r="AC158" i="2"/>
  <c r="AD158" i="2"/>
  <c r="Y159" i="2"/>
  <c r="Z159" i="2"/>
  <c r="AA159" i="2"/>
  <c r="AB159" i="2"/>
  <c r="AC159" i="2"/>
  <c r="AD159" i="2"/>
  <c r="Y160" i="2"/>
  <c r="Z160" i="2"/>
  <c r="AA160" i="2"/>
  <c r="AB160" i="2"/>
  <c r="AC160" i="2"/>
  <c r="AD160" i="2"/>
  <c r="Y161" i="2"/>
  <c r="Z161" i="2"/>
  <c r="AA161" i="2"/>
  <c r="AB161" i="2"/>
  <c r="AC161" i="2"/>
  <c r="AD161" i="2"/>
  <c r="Y162" i="2"/>
  <c r="Z162" i="2"/>
  <c r="AA162" i="2"/>
  <c r="AB162" i="2"/>
  <c r="AC162" i="2"/>
  <c r="AD162" i="2"/>
  <c r="Y163" i="2"/>
  <c r="Z163" i="2"/>
  <c r="AA163" i="2"/>
  <c r="AB163" i="2"/>
  <c r="AC163" i="2"/>
  <c r="AD163" i="2"/>
  <c r="Y164" i="2"/>
  <c r="Z164" i="2"/>
  <c r="AA164" i="2"/>
  <c r="AB164" i="2"/>
  <c r="AC164" i="2"/>
  <c r="AD164" i="2"/>
  <c r="Y165" i="2"/>
  <c r="Z165" i="2"/>
  <c r="AA165" i="2"/>
  <c r="AB165" i="2"/>
  <c r="AC165" i="2"/>
  <c r="AD165" i="2"/>
  <c r="Y166" i="2"/>
  <c r="Z166" i="2"/>
  <c r="AA166" i="2"/>
  <c r="AB166" i="2"/>
  <c r="AC166" i="2"/>
  <c r="AD166" i="2"/>
  <c r="Y167" i="2"/>
  <c r="Z167" i="2"/>
  <c r="AA167" i="2"/>
  <c r="AB167" i="2"/>
  <c r="AC167" i="2"/>
  <c r="AD167" i="2"/>
  <c r="Y168" i="2"/>
  <c r="Z168" i="2"/>
  <c r="AA168" i="2"/>
  <c r="AB168" i="2"/>
  <c r="AC168" i="2"/>
  <c r="AD168" i="2"/>
  <c r="Y169" i="2"/>
  <c r="Z169" i="2"/>
  <c r="AA169" i="2"/>
  <c r="AB169" i="2"/>
  <c r="AC169" i="2"/>
  <c r="AD169" i="2"/>
  <c r="Y170" i="2"/>
  <c r="Z170" i="2"/>
  <c r="AA170" i="2"/>
  <c r="AB170" i="2"/>
  <c r="AC170" i="2"/>
  <c r="AD170" i="2"/>
  <c r="Y171" i="2"/>
  <c r="Z171" i="2"/>
  <c r="AA171" i="2"/>
  <c r="AB171" i="2"/>
  <c r="AC171" i="2"/>
  <c r="AD171" i="2"/>
  <c r="Y172" i="2"/>
  <c r="Z172" i="2"/>
  <c r="AA172" i="2"/>
  <c r="AB172" i="2"/>
  <c r="AC172" i="2"/>
  <c r="AD172" i="2"/>
  <c r="Y173" i="2"/>
  <c r="Z173" i="2"/>
  <c r="AA173" i="2"/>
  <c r="AB173" i="2"/>
  <c r="AC173" i="2"/>
  <c r="AD173" i="2"/>
  <c r="Y174" i="2"/>
  <c r="Z174" i="2"/>
  <c r="AA174" i="2"/>
  <c r="AB174" i="2"/>
  <c r="AC174" i="2"/>
  <c r="AD174" i="2"/>
  <c r="Y175" i="2"/>
  <c r="Z175" i="2"/>
  <c r="AA175" i="2"/>
  <c r="AB175" i="2"/>
  <c r="AC175" i="2"/>
  <c r="AD175" i="2"/>
  <c r="Y176" i="2"/>
  <c r="Z176" i="2"/>
  <c r="AA176" i="2"/>
  <c r="AB176" i="2"/>
  <c r="AC176" i="2"/>
  <c r="AD176" i="2"/>
  <c r="Y177" i="2"/>
  <c r="Z177" i="2"/>
  <c r="AA177" i="2"/>
  <c r="AB177" i="2"/>
  <c r="AC177" i="2"/>
  <c r="AD177" i="2"/>
  <c r="Y178" i="2"/>
  <c r="Z178" i="2"/>
  <c r="AA178" i="2"/>
  <c r="AB178" i="2"/>
  <c r="AC178" i="2"/>
  <c r="AD178" i="2"/>
  <c r="Y179" i="2"/>
  <c r="Z179" i="2"/>
  <c r="AA179" i="2"/>
  <c r="AB179" i="2"/>
  <c r="AC179" i="2"/>
  <c r="AD179" i="2"/>
  <c r="Y180" i="2"/>
  <c r="Z180" i="2"/>
  <c r="AA180" i="2"/>
  <c r="AB180" i="2"/>
  <c r="AC180" i="2"/>
  <c r="AD180" i="2"/>
  <c r="Y181" i="2"/>
  <c r="Z181" i="2"/>
  <c r="AA181" i="2"/>
  <c r="AB181" i="2"/>
  <c r="AC181" i="2"/>
  <c r="AD181" i="2"/>
  <c r="Y182" i="2"/>
  <c r="Z182" i="2"/>
  <c r="AA182" i="2"/>
  <c r="AB182" i="2"/>
  <c r="AC182" i="2"/>
  <c r="AD182" i="2"/>
  <c r="Y183" i="2"/>
  <c r="Z183" i="2"/>
  <c r="AA183" i="2"/>
  <c r="AB183" i="2"/>
  <c r="AC183" i="2"/>
  <c r="AD183" i="2"/>
  <c r="Y184" i="2"/>
  <c r="Z184" i="2"/>
  <c r="AA184" i="2"/>
  <c r="AB184" i="2"/>
  <c r="AC184" i="2"/>
  <c r="AD184" i="2"/>
  <c r="Y185" i="2"/>
  <c r="Z185" i="2"/>
  <c r="AA185" i="2"/>
  <c r="AB185" i="2"/>
  <c r="AC185" i="2"/>
  <c r="AD185" i="2"/>
  <c r="Y186" i="2"/>
  <c r="Z186" i="2"/>
  <c r="AA186" i="2"/>
  <c r="AB186" i="2"/>
  <c r="AC186" i="2"/>
  <c r="AD186" i="2"/>
  <c r="Y187" i="2"/>
  <c r="Z187" i="2"/>
  <c r="AA187" i="2"/>
  <c r="AB187" i="2"/>
  <c r="AC187" i="2"/>
  <c r="AD187" i="2"/>
  <c r="Y188" i="2"/>
  <c r="Z188" i="2"/>
  <c r="AA188" i="2"/>
  <c r="AB188" i="2"/>
  <c r="AC188" i="2"/>
  <c r="AD188" i="2"/>
  <c r="Y189" i="2"/>
  <c r="Z189" i="2"/>
  <c r="AA189" i="2"/>
  <c r="AB189" i="2"/>
  <c r="AC189" i="2"/>
  <c r="AD189" i="2"/>
  <c r="Y190" i="2"/>
  <c r="Z190" i="2"/>
  <c r="AA190" i="2"/>
  <c r="AB190" i="2"/>
  <c r="AC190" i="2"/>
  <c r="AD190" i="2"/>
  <c r="Y191" i="2"/>
  <c r="Z191" i="2"/>
  <c r="AA191" i="2"/>
  <c r="AB191" i="2"/>
  <c r="AC191" i="2"/>
  <c r="AD191" i="2"/>
  <c r="Y192" i="2"/>
  <c r="Z192" i="2"/>
  <c r="AA192" i="2"/>
  <c r="AB192" i="2"/>
  <c r="AC192" i="2"/>
  <c r="AD192" i="2"/>
  <c r="Y193" i="2"/>
  <c r="Z193" i="2"/>
  <c r="AA193" i="2"/>
  <c r="AB193" i="2"/>
  <c r="AC193" i="2"/>
  <c r="AD193" i="2"/>
  <c r="Y194" i="2"/>
  <c r="Z194" i="2"/>
  <c r="AA194" i="2"/>
  <c r="AB194" i="2"/>
  <c r="AC194" i="2"/>
  <c r="AD194" i="2"/>
  <c r="Y195" i="2"/>
  <c r="Z195" i="2"/>
  <c r="AA195" i="2"/>
  <c r="AB195" i="2"/>
  <c r="AC195" i="2"/>
  <c r="AD195" i="2"/>
  <c r="Y196" i="2"/>
  <c r="Z196" i="2"/>
  <c r="AA196" i="2"/>
  <c r="AB196" i="2"/>
  <c r="AC196" i="2"/>
  <c r="AD196" i="2"/>
  <c r="Y197" i="2"/>
  <c r="Z197" i="2"/>
  <c r="AA197" i="2"/>
  <c r="AB197" i="2"/>
  <c r="AC197" i="2"/>
  <c r="AD197" i="2"/>
  <c r="Y198" i="2"/>
  <c r="Z198" i="2"/>
  <c r="AA198" i="2"/>
  <c r="AB198" i="2"/>
  <c r="AC198" i="2"/>
  <c r="AD198" i="2"/>
  <c r="Y199" i="2"/>
  <c r="Z199" i="2"/>
  <c r="AA199" i="2"/>
  <c r="AB199" i="2"/>
  <c r="AC199" i="2"/>
  <c r="AD199" i="2"/>
  <c r="Y200" i="2"/>
  <c r="Z200" i="2"/>
  <c r="AA200" i="2"/>
  <c r="AB200" i="2"/>
  <c r="AC200" i="2"/>
  <c r="AD200" i="2"/>
  <c r="AD6" i="2"/>
  <c r="AC6" i="2"/>
  <c r="AB6" i="2"/>
  <c r="AA6" i="2"/>
  <c r="Z6" i="2"/>
  <c r="Y6" i="2"/>
</calcChain>
</file>

<file path=xl/sharedStrings.xml><?xml version="1.0" encoding="utf-8"?>
<sst xmlns="http://schemas.openxmlformats.org/spreadsheetml/2006/main" count="754" uniqueCount="584">
  <si>
    <t>Cadastre vários itens simultaneamente</t>
  </si>
  <si>
    <t>Preencha os dados do que quiser cadastrar.</t>
  </si>
  <si>
    <t>Categorias:</t>
  </si>
  <si>
    <t>Envie a planilha Excel</t>
  </si>
  <si>
    <t>Cadastro de Produtos</t>
  </si>
  <si>
    <t>Cadastro de Pedidos</t>
  </si>
  <si>
    <t>Ao terminar, lembre-se de salvar e importar a planilha Excel para o Matriz</t>
  </si>
  <si>
    <t>Cadastro de Marcas</t>
  </si>
  <si>
    <t xml:space="preserve">Cadastros Básicos &gt; Produto </t>
  </si>
  <si>
    <t>Atributos</t>
  </si>
  <si>
    <t>Seção</t>
  </si>
  <si>
    <t>Espécie</t>
  </si>
  <si>
    <t>Descrição</t>
  </si>
  <si>
    <t>Descrição Reduzida</t>
  </si>
  <si>
    <t>Marca</t>
  </si>
  <si>
    <t>Referência do Fornecedor</t>
  </si>
  <si>
    <t>Código Original</t>
  </si>
  <si>
    <t>Comprador</t>
  </si>
  <si>
    <t>Produto Ativo?</t>
  </si>
  <si>
    <t>Unidade</t>
  </si>
  <si>
    <t>Classificação Fiscal</t>
  </si>
  <si>
    <t>Origem</t>
  </si>
  <si>
    <t>Valor de Venda</t>
  </si>
  <si>
    <t>% ICMS</t>
  </si>
  <si>
    <t>% IPI</t>
  </si>
  <si>
    <t>Etiqueta Padrão</t>
  </si>
  <si>
    <t>Obrigatório</t>
  </si>
  <si>
    <t>Aviso: Os valores de "seção" são importados automaticamente do banco de dados do Matriz.</t>
  </si>
  <si>
    <t>Aviso: Os valores de "espécie" são importados automaticamente do banco de dados do Matriz.</t>
  </si>
  <si>
    <t>Máximo 50 caracteres. Dica: Se a sua descrição incluir os mesmos valores de "seção" e/ou "espécie", remova as palavras repetidas para evitar duplicidade na impressão da etiqueta.</t>
  </si>
  <si>
    <t>Máximo 50 caracteres. Dica: A "descrição reduzida" geralmente inclui apenas uma ou duas palavras-chave relacionadas à "descrição".</t>
  </si>
  <si>
    <t>Aviso: Os valores de "marca" são importados automaticamente do banco de dados do Matriz.</t>
  </si>
  <si>
    <t>Aviso: Os valores de "comprador" são importados automaticamente do banco de dados do Matriz.</t>
  </si>
  <si>
    <t>Aviso: Os valores de "etiqueta padrão" são importados automaticamente do banco de dados do Matriz.</t>
  </si>
  <si>
    <t>teste</t>
  </si>
  <si>
    <t>ref1</t>
  </si>
  <si>
    <t>ref2</t>
  </si>
  <si>
    <t xml:space="preserve">Cadastros Básicos &gt; Marca </t>
  </si>
  <si>
    <t>Nome</t>
  </si>
  <si>
    <t xml:space="preserve">Máximo 50 caracteres. </t>
  </si>
  <si>
    <t>1 - BEBE</t>
  </si>
  <si>
    <t>1 - MACACAO</t>
  </si>
  <si>
    <t>1 - ABRANGE</t>
  </si>
  <si>
    <t>3 - SUELI IVANOW</t>
  </si>
  <si>
    <t>1 - PC</t>
  </si>
  <si>
    <t>5 - Remarcacao Zebra</t>
  </si>
  <si>
    <t>2 - BOLSA CINTO ACESS</t>
  </si>
  <si>
    <t>2 - BERCO</t>
  </si>
  <si>
    <t>2 - ACILIO BREDA</t>
  </si>
  <si>
    <t>4 - LUCIA MARIANO</t>
  </si>
  <si>
    <t>2 - METRO</t>
  </si>
  <si>
    <t>10 - ETIQUETA DESENV</t>
  </si>
  <si>
    <t>3 - BRINQUEDO</t>
  </si>
  <si>
    <t>3 - ENXOVAL</t>
  </si>
  <si>
    <t>3 - ACOFF</t>
  </si>
  <si>
    <t>5 - NATALIA CAROLINE</t>
  </si>
  <si>
    <t>3 - PAR</t>
  </si>
  <si>
    <t>14 - ETIQUETA ADESIVA CODIGO NEXTT ZEBRA</t>
  </si>
  <si>
    <t>4 - CAMA MESA BANHO</t>
  </si>
  <si>
    <t>4 - HIGIENE</t>
  </si>
  <si>
    <t>4 - ADG CONFECCOES</t>
  </si>
  <si>
    <t>6 - ERIK WALLISON</t>
  </si>
  <si>
    <t>4 - 1</t>
  </si>
  <si>
    <t>16 - ETIQUETA ADESIVA 2 CODIGO NEXTT ZEBRA</t>
  </si>
  <si>
    <t>5 - CARRINHO BEBE ACESS</t>
  </si>
  <si>
    <t>5 - ACESSORIO</t>
  </si>
  <si>
    <t>5 - ADK</t>
  </si>
  <si>
    <t>9 - HELOISA FERNANDES PEREIRA</t>
  </si>
  <si>
    <t>5 - N</t>
  </si>
  <si>
    <t>17 - Etiqueta Adesiva GC420t</t>
  </si>
  <si>
    <t>6 - CARTAO PRESENTE</t>
  </si>
  <si>
    <t>1 - BIJOUTERIA</t>
  </si>
  <si>
    <t>6 - AGANESTAR</t>
  </si>
  <si>
    <t>10 - LAIS GONCALVES OLIVEIRA</t>
  </si>
  <si>
    <t>6 - PE A</t>
  </si>
  <si>
    <t>18 - ETIQUETA VOLUME TRANSFERÊNCIA</t>
  </si>
  <si>
    <t>7 - ELETROELETRONICO</t>
  </si>
  <si>
    <t>2 - SOMBRINHA GUARDA CHUV</t>
  </si>
  <si>
    <t>7 - AHVAZ</t>
  </si>
  <si>
    <t>12 - ANDREIA DE ARAUJO VALENTE</t>
  </si>
  <si>
    <t>7 - U</t>
  </si>
  <si>
    <t>19 - ETIQUETA PADRÃO PACK DE PRODUTOS</t>
  </si>
  <si>
    <t>8 - ELETROPORTATEIS</t>
  </si>
  <si>
    <t>3 - ACESSORIO FEMININO</t>
  </si>
  <si>
    <t>8 - AISTHY</t>
  </si>
  <si>
    <t xml:space="preserve">13 - ANGELICA RAIANE </t>
  </si>
  <si>
    <t>8 - UM</t>
  </si>
  <si>
    <t>20 - Etiqueta SKINA TAG 2 COL - TLP2844</t>
  </si>
  <si>
    <t>9 - EVENTUAIS</t>
  </si>
  <si>
    <t>4 - BOLSA</t>
  </si>
  <si>
    <t>9 - AKIYOSHI</t>
  </si>
  <si>
    <t>14 - FRANCIELE CRISTINA SANTOS DE GODOY</t>
  </si>
  <si>
    <t>9 - UN</t>
  </si>
  <si>
    <t>21 - ETQ - SKINA 34X23 - TLP2844</t>
  </si>
  <si>
    <t>10 - FEMININO CLASSICO</t>
  </si>
  <si>
    <t>1 - BONECA</t>
  </si>
  <si>
    <t>10 - ANDREZA</t>
  </si>
  <si>
    <t>16 - SUZIANI ALVES FERNANDES</t>
  </si>
  <si>
    <t>22 - Etq - Remarcacao - SKINA - TLP2844</t>
  </si>
  <si>
    <t>11 - FEMININO CONTEMPORANEO</t>
  </si>
  <si>
    <t>2 - DIVERSOS</t>
  </si>
  <si>
    <t>11 - ANDRIMALHAS</t>
  </si>
  <si>
    <t>17 - CAROLINE TEIXEIRA DA SILVA</t>
  </si>
  <si>
    <t>23 - Etiqueta SKINA TAG 2 COL - GC420T</t>
  </si>
  <si>
    <t>12 - FEMININO JOVEM</t>
  </si>
  <si>
    <t>3 - PELUCIA</t>
  </si>
  <si>
    <t>12 - ANGERO MALHAS</t>
  </si>
  <si>
    <t>18 - CLAUDIA LEMES PEREIRA</t>
  </si>
  <si>
    <t>13 - GINASTICA FEMININA</t>
  </si>
  <si>
    <t>4 - CHAO</t>
  </si>
  <si>
    <t>13 - ANT SHOK</t>
  </si>
  <si>
    <t>19 - VENDEDOR LOJA 01</t>
  </si>
  <si>
    <t>14 - INFANTIL MENINA</t>
  </si>
  <si>
    <t>5 - ELETRONICO</t>
  </si>
  <si>
    <t>15 - AQUARELA ME</t>
  </si>
  <si>
    <t>20 - VENDEDOR LOJA 02</t>
  </si>
  <si>
    <t>15 - INFANTIL MENINO</t>
  </si>
  <si>
    <t>1 - CAMA</t>
  </si>
  <si>
    <t>16 - ATUAL</t>
  </si>
  <si>
    <t>21 - IVANI PEREZ RUIVO</t>
  </si>
  <si>
    <t>16 - INVERNO FEM CONT CLASS</t>
  </si>
  <si>
    <t>2 - BANHO</t>
  </si>
  <si>
    <t>17 - AVAL TEXTIL   FARAELI</t>
  </si>
  <si>
    <t>22 - PRISCILA FERNANDES</t>
  </si>
  <si>
    <t>17 - INVERNO FEMININO JOVEM</t>
  </si>
  <si>
    <t>3 - MESA</t>
  </si>
  <si>
    <t>18 - AYONA</t>
  </si>
  <si>
    <t>24 - HELEN CHOBBA</t>
  </si>
  <si>
    <t>18 - JEANS FEMININO JOVEM</t>
  </si>
  <si>
    <t>1 - CARRINHO</t>
  </si>
  <si>
    <t>20 - BACCI</t>
  </si>
  <si>
    <t>27 - ALISON SILVA</t>
  </si>
  <si>
    <t>19 - JEANS FEMININO TG</t>
  </si>
  <si>
    <t>2 - ANDADOR</t>
  </si>
  <si>
    <t>21 - BANDEIRANTE</t>
  </si>
  <si>
    <t>30 - ROSILENE ALVES LINS</t>
  </si>
  <si>
    <t>20 - JEANS MASCULINO</t>
  </si>
  <si>
    <t>3 - CADEIRA</t>
  </si>
  <si>
    <t>22 - BDB FERRAMENTAS</t>
  </si>
  <si>
    <t>34 - CONTABILIDADE</t>
  </si>
  <si>
    <t>21 - JUVENIL MENINA</t>
  </si>
  <si>
    <t>1 - CARTAO PRESENTE</t>
  </si>
  <si>
    <t>23 - BEACH E COUNTRY</t>
  </si>
  <si>
    <t>35 - ELIETE</t>
  </si>
  <si>
    <t>22 - JUVENIL MENINO</t>
  </si>
  <si>
    <t>1 - RADIO</t>
  </si>
  <si>
    <t>24 - BELLOT</t>
  </si>
  <si>
    <t>37 - CLAUDINEY OLIVEIRA</t>
  </si>
  <si>
    <t>23 - LINGERIE</t>
  </si>
  <si>
    <t>2 - TELEFONE</t>
  </si>
  <si>
    <t>25 - BESTIE</t>
  </si>
  <si>
    <t>38 - ANDREIA DE ARAUJO VALENTE</t>
  </si>
  <si>
    <t>24 - LINGERIE NOITE</t>
  </si>
  <si>
    <t>1 - COZINHA</t>
  </si>
  <si>
    <t>26 - BGO TEXTIL</t>
  </si>
  <si>
    <t>39 - CAROLINE TEIXEIRA DA SILVA</t>
  </si>
  <si>
    <t>25 - MALA MOCHILA COMPL</t>
  </si>
  <si>
    <t>2 - CASA</t>
  </si>
  <si>
    <t>27 - BILU NEW</t>
  </si>
  <si>
    <t>43 - SUZIANI ALVES FERNANDES</t>
  </si>
  <si>
    <t>26 - MASCULINO CLASSICO</t>
  </si>
  <si>
    <t>3 - BELEZA E SAUDE</t>
  </si>
  <si>
    <t>28 - BIOGRAFIA</t>
  </si>
  <si>
    <t>44 - ANA CRISTINA ALVES E SILVA</t>
  </si>
  <si>
    <t>27 - MASCULINO INTIMA PRAIA</t>
  </si>
  <si>
    <t>1 - PASCOA</t>
  </si>
  <si>
    <t>29 - BISON</t>
  </si>
  <si>
    <t>45 - AMANDA APARECIDA DE OLIVEIRA PEREIRA</t>
  </si>
  <si>
    <t>28 - MASCULINO INVERNO</t>
  </si>
  <si>
    <t>2 - BOMBOM BARRA</t>
  </si>
  <si>
    <t>31 - BIVIK JEANS</t>
  </si>
  <si>
    <t>46 - THAIS CORBETTA LINS</t>
  </si>
  <si>
    <t>29 - MASCULINO JOVEM</t>
  </si>
  <si>
    <t>1 - CALCA</t>
  </si>
  <si>
    <t>34 - BLUE BAY</t>
  </si>
  <si>
    <t>47 - DANIELE FRANCOISE DA SILVA</t>
  </si>
  <si>
    <t>30 - PRAIA</t>
  </si>
  <si>
    <t>2 - SAIA</t>
  </si>
  <si>
    <t>37 - BOKKER LAHOUD</t>
  </si>
  <si>
    <t>48 - CLEIDEMAR ROSA RIBEIRO EXTRA NATAL</t>
  </si>
  <si>
    <t>31 - PRIM  PASSOS MENINA</t>
  </si>
  <si>
    <t>3 - BLUSA TOP CAMISETA</t>
  </si>
  <si>
    <t>38 - BRANDILI</t>
  </si>
  <si>
    <t>54 - ANA CRISTINA ALVES</t>
  </si>
  <si>
    <t>32 - PRIM  PASSOS MENINO</t>
  </si>
  <si>
    <t>4 - SHORTS BERMUDA</t>
  </si>
  <si>
    <t>39 - BRASCOL</t>
  </si>
  <si>
    <t>33 - PRODUTOS DIVERSOS</t>
  </si>
  <si>
    <t>5 - VESTIDO MACACAO</t>
  </si>
  <si>
    <t>40 - BRASKIT</t>
  </si>
  <si>
    <t>34 - TEEN FEMININO</t>
  </si>
  <si>
    <t>6 - SOBREPOSICAO</t>
  </si>
  <si>
    <t>41 - BRILHANTE</t>
  </si>
  <si>
    <t>35 - TEEN MASCULINO</t>
  </si>
  <si>
    <t>7 - CONJUNTO</t>
  </si>
  <si>
    <t>42 - BRILHO TEEN</t>
  </si>
  <si>
    <t>36 - UTILID PARA O LAR</t>
  </si>
  <si>
    <t>8 - BLUSA M L</t>
  </si>
  <si>
    <t>43 - BROOKS</t>
  </si>
  <si>
    <t>37 - CALÇADOS</t>
  </si>
  <si>
    <t>1 - SAIA</t>
  </si>
  <si>
    <t>44 - BUBA</t>
  </si>
  <si>
    <t>2 - CALCA</t>
  </si>
  <si>
    <t>45 - BUDDEMEYER</t>
  </si>
  <si>
    <t>46 - CADENCE</t>
  </si>
  <si>
    <t>47 - CAEDU</t>
  </si>
  <si>
    <t>48 - CALESITA</t>
  </si>
  <si>
    <t>49 - CAMELO</t>
  </si>
  <si>
    <t>7 - BLUSA M L</t>
  </si>
  <si>
    <t>50 - CAMESA</t>
  </si>
  <si>
    <t>52 - CAMPCENTER</t>
  </si>
  <si>
    <t>2 - BLUSA TOP CAMISETA</t>
  </si>
  <si>
    <t>53 - CANDIDE</t>
  </si>
  <si>
    <t>3 - SOBREPOSICAO</t>
  </si>
  <si>
    <t>54 - CAROLINA CONFECCOES</t>
  </si>
  <si>
    <t>4 - VESTIDO MACACAO</t>
  </si>
  <si>
    <t>55 - CENSATO</t>
  </si>
  <si>
    <t>5 - SAIA</t>
  </si>
  <si>
    <t>57 - CENTRO BARAO DIST LTDA</t>
  </si>
  <si>
    <t>6 - SHORTS BERMUDA</t>
  </si>
  <si>
    <t>58 - CIC MALHAS</t>
  </si>
  <si>
    <t>59 - CLICK</t>
  </si>
  <si>
    <t>60 - COLIBRI</t>
  </si>
  <si>
    <t>2 - SHORTS BERMUDA</t>
  </si>
  <si>
    <t>61 - COLISAO</t>
  </si>
  <si>
    <t>62 - CONCEITO URBANO</t>
  </si>
  <si>
    <t>4 - SOBREPOSICAO MACACAO</t>
  </si>
  <si>
    <t>63 - CONFECCOES A UCENA LTDA</t>
  </si>
  <si>
    <t>1 - VESTIDO MACACAO</t>
  </si>
  <si>
    <t>64 - CONTATO TRICOT</t>
  </si>
  <si>
    <t>65 - CONTRA REGRA</t>
  </si>
  <si>
    <t>66 - CORPO NU</t>
  </si>
  <si>
    <t>4 - SAIA</t>
  </si>
  <si>
    <t>67 - CORTTEX</t>
  </si>
  <si>
    <t>5 - CALCA OUTROS</t>
  </si>
  <si>
    <t>68 - COSTA RICA</t>
  </si>
  <si>
    <t>6 - CALCA JEANS</t>
  </si>
  <si>
    <t>71 - COTEMINAS S A</t>
  </si>
  <si>
    <t>7 - INTIMA</t>
  </si>
  <si>
    <t>73 - COTIPLAS</t>
  </si>
  <si>
    <t>8 - CONJUNTO</t>
  </si>
  <si>
    <t>74 - COY</t>
  </si>
  <si>
    <t>9 - SOBREPOSICAO</t>
  </si>
  <si>
    <t>75 - COZA</t>
  </si>
  <si>
    <t>10 - PRAIA</t>
  </si>
  <si>
    <t>76 - CRIACAO JULIA</t>
  </si>
  <si>
    <t>1 - CALCA OUTROS</t>
  </si>
  <si>
    <t>77 - CRUZEIRO</t>
  </si>
  <si>
    <t>2 - CALCA JEANS</t>
  </si>
  <si>
    <t>78 - D MANO</t>
  </si>
  <si>
    <t>3 - CAMISETA</t>
  </si>
  <si>
    <t>79 - D SILVEIRA</t>
  </si>
  <si>
    <t>4 - CAMISA</t>
  </si>
  <si>
    <t>80 - DAGATEX</t>
  </si>
  <si>
    <t>5 - SHORTS BERMUDA</t>
  </si>
  <si>
    <t>81 - DALANT</t>
  </si>
  <si>
    <t>6 - INTIMA</t>
  </si>
  <si>
    <t>82 - DANBIRO</t>
  </si>
  <si>
    <t>83 - DEL LARAS</t>
  </si>
  <si>
    <t>8 - SOBREPOSICAO</t>
  </si>
  <si>
    <t>84 - DEL RIO</t>
  </si>
  <si>
    <t>9 - PRAIA</t>
  </si>
  <si>
    <t>86 - DERMIWIL IND PLASTLTDA</t>
  </si>
  <si>
    <t>1 - SOBREPOSICAO</t>
  </si>
  <si>
    <t>87 - DESIRE PIJAMAS</t>
  </si>
  <si>
    <t>88 - DILADY</t>
  </si>
  <si>
    <t>1 - BLUSA M C</t>
  </si>
  <si>
    <t>89 - DIVINO VICIO CHOCOLATES</t>
  </si>
  <si>
    <t>90 - DIXIE</t>
  </si>
  <si>
    <t>3 - SAIA</t>
  </si>
  <si>
    <t>91 - DM SHIRTS</t>
  </si>
  <si>
    <t>92 - DOCE TRAMA</t>
  </si>
  <si>
    <t>5 - SOBREPOSICAO</t>
  </si>
  <si>
    <t>93 - DOCTOR BABY</t>
  </si>
  <si>
    <t>6 - CALCA</t>
  </si>
  <si>
    <t>94 - DOM PIERRE</t>
  </si>
  <si>
    <t>95 - DORILAN</t>
  </si>
  <si>
    <t>96 - DRAY IND COM</t>
  </si>
  <si>
    <t>2 - BLUSA M C</t>
  </si>
  <si>
    <t>97 - DULOREN</t>
  </si>
  <si>
    <t>3 - SHORTS BERMUDA</t>
  </si>
  <si>
    <t>98 - EDROMANIA</t>
  </si>
  <si>
    <t>99 - EL SHADAI</t>
  </si>
  <si>
    <t>100 - ELIAN</t>
  </si>
  <si>
    <t>101 - ELITE</t>
  </si>
  <si>
    <t>102 - EMILIO</t>
  </si>
  <si>
    <t>103 - ESBELT</t>
  </si>
  <si>
    <t>2 - CAMISA</t>
  </si>
  <si>
    <t>104 - ESOTERICA</t>
  </si>
  <si>
    <t>105 - ESTRELA</t>
  </si>
  <si>
    <t>4 - SOBREPOSICAO</t>
  </si>
  <si>
    <t>106 - EVANILDA</t>
  </si>
  <si>
    <t>5 - CALCA TG</t>
  </si>
  <si>
    <t>107 - EVOLUTEX</t>
  </si>
  <si>
    <t>6 - CAMISA TG</t>
  </si>
  <si>
    <t>108 - FAJOS CONFECCOES</t>
  </si>
  <si>
    <t>7 - SHORTS BERMUDA TG</t>
  </si>
  <si>
    <t>109 - FAKINI RIO TESTO</t>
  </si>
  <si>
    <t>8 - SOBREPOSICAO TG</t>
  </si>
  <si>
    <t>110 - FALL BACK</t>
  </si>
  <si>
    <t>111 - FASA</t>
  </si>
  <si>
    <t>112 - FBR</t>
  </si>
  <si>
    <t>113 - FLUXO</t>
  </si>
  <si>
    <t>114 - FOFATEX</t>
  </si>
  <si>
    <t>115 - FORMITZ</t>
  </si>
  <si>
    <t>116 - FORTALEZA</t>
  </si>
  <si>
    <t>7 - PRAIA</t>
  </si>
  <si>
    <t>117 - FUN   BARAO</t>
  </si>
  <si>
    <t>8 - INTIMA</t>
  </si>
  <si>
    <t>118 - GABI PLUS</t>
  </si>
  <si>
    <t>119 - GABRIELLE</t>
  </si>
  <si>
    <t>10 - CONJUNTO</t>
  </si>
  <si>
    <t>120 - GAGA BABY</t>
  </si>
  <si>
    <t>121 - GALZERANO</t>
  </si>
  <si>
    <t>122 - GAMA</t>
  </si>
  <si>
    <t>123 - GANGSTER</t>
  </si>
  <si>
    <t>124 - GARRA JEANS</t>
  </si>
  <si>
    <t>125 - GATTO STYLE</t>
  </si>
  <si>
    <t>6 - PRAIA</t>
  </si>
  <si>
    <t>126 - GIOVANA JULIA</t>
  </si>
  <si>
    <t>7 - SOBREPOSICAO</t>
  </si>
  <si>
    <t>127 - GROW</t>
  </si>
  <si>
    <t>8 - MODA INTIMA</t>
  </si>
  <si>
    <t>128 - GRUN 21</t>
  </si>
  <si>
    <t>9 - CONJUNTO</t>
  </si>
  <si>
    <t>129 - GRUPO SEB DO BRASIL</t>
  </si>
  <si>
    <t>1 - TANGA</t>
  </si>
  <si>
    <t>130 - H LARAPHY</t>
  </si>
  <si>
    <t>2 - CALCINHA</t>
  </si>
  <si>
    <t>131 - HAFF</t>
  </si>
  <si>
    <t>3 - SOUTIEN</t>
  </si>
  <si>
    <t>132 - HANAGRIFF</t>
  </si>
  <si>
    <t>4 - ANAGUA COMBINACAO</t>
  </si>
  <si>
    <t>134 - HOBBY   HASBRO</t>
  </si>
  <si>
    <t>5 - CINTA MODELADOR</t>
  </si>
  <si>
    <t>135 - HOMEPLAY</t>
  </si>
  <si>
    <t>1 - CAMISOLA</t>
  </si>
  <si>
    <t>136 - HOMMER CONFECCOES</t>
  </si>
  <si>
    <t>2 - ROBE</t>
  </si>
  <si>
    <t>137 - I SPORT</t>
  </si>
  <si>
    <t>3 - PIJAMA</t>
  </si>
  <si>
    <t>138 - INCOMFRAL</t>
  </si>
  <si>
    <t>4 - SHORTS BABY DOLL</t>
  </si>
  <si>
    <t>139 - INDUSTRIE</t>
  </si>
  <si>
    <t>5 - MEIA</t>
  </si>
  <si>
    <t>140 - INFINITTO</t>
  </si>
  <si>
    <t>6 - CHINELO</t>
  </si>
  <si>
    <t>141 - INNOVA LINGERIE</t>
  </si>
  <si>
    <t>1 - MALA</t>
  </si>
  <si>
    <t>142 - INTELBRAS S A</t>
  </si>
  <si>
    <t>2 - MOCHILA</t>
  </si>
  <si>
    <t>143 - INTIMUS FASHION</t>
  </si>
  <si>
    <t>3 - BOLSA VIAGEM</t>
  </si>
  <si>
    <t>144 - INVICTA</t>
  </si>
  <si>
    <t>1 - CAMISA</t>
  </si>
  <si>
    <t>145 - IPANEMA</t>
  </si>
  <si>
    <t>146 - JAKIMALHAS</t>
  </si>
  <si>
    <t>3 - CAMISA TG</t>
  </si>
  <si>
    <t>147 - JALVA</t>
  </si>
  <si>
    <t>4 - CALCA TG</t>
  </si>
  <si>
    <t>148 - JAZZ PLUS</t>
  </si>
  <si>
    <t>1 - CUECA</t>
  </si>
  <si>
    <t>149 - JC BROTHERS</t>
  </si>
  <si>
    <t>2 - MEIA</t>
  </si>
  <si>
    <t>151 - JEANSWEAR</t>
  </si>
  <si>
    <t>152 - JEANSWEAR NAPSTER</t>
  </si>
  <si>
    <t>4 - PRAIA</t>
  </si>
  <si>
    <t>153 - JIANNY BIJUTERIAS</t>
  </si>
  <si>
    <t>154 - JOLY CONFECCOES</t>
  </si>
  <si>
    <t>155 - JR MALHAS</t>
  </si>
  <si>
    <t>2 - CALCA TG</t>
  </si>
  <si>
    <t>156 - JUANNA TEXTIL</t>
  </si>
  <si>
    <t>157 - K K C</t>
  </si>
  <si>
    <t>4 - BLUSAO</t>
  </si>
  <si>
    <t>158 - KABBARAS</t>
  </si>
  <si>
    <t>5 - BLUSAO TG</t>
  </si>
  <si>
    <t>159 - KAIRON</t>
  </si>
  <si>
    <t>161 - KALISKA</t>
  </si>
  <si>
    <t>162 - KAMYLUS</t>
  </si>
  <si>
    <t>163 - KARSTEN</t>
  </si>
  <si>
    <t>165 - KAVINS</t>
  </si>
  <si>
    <t>5 - CAMISA TG</t>
  </si>
  <si>
    <t>166 - KELL</t>
  </si>
  <si>
    <t>167 - KELL MALHAS</t>
  </si>
  <si>
    <t>168 - KIGURI</t>
  </si>
  <si>
    <t>8 - CAMISETA TG</t>
  </si>
  <si>
    <t>169 - KIKO E KIKA CONFECCOES</t>
  </si>
  <si>
    <t>170 - KRACIZY   TANAKA LTDA</t>
  </si>
  <si>
    <t>1 - MAIO</t>
  </si>
  <si>
    <t>171 - LABIGALINI</t>
  </si>
  <si>
    <t>2 - ACESSORIO</t>
  </si>
  <si>
    <t>173 - LACTA SUMARE</t>
  </si>
  <si>
    <t>3 - SANDALIA</t>
  </si>
  <si>
    <t>174 - LAVIVE</t>
  </si>
  <si>
    <t>4 - BIQUINI AVULSO</t>
  </si>
  <si>
    <t>175 - LECIMAR</t>
  </si>
  <si>
    <t>5 - SOUTIEN AVULSO</t>
  </si>
  <si>
    <t>176 - LEMIER JEANS</t>
  </si>
  <si>
    <t>177 - LEMON</t>
  </si>
  <si>
    <t>2 - CALCA OUTROS</t>
  </si>
  <si>
    <t>178 - LEPPER</t>
  </si>
  <si>
    <t>179 - LG ALIMENTOS</t>
  </si>
  <si>
    <t>4 - INTIMA</t>
  </si>
  <si>
    <t>180 - LIDER</t>
  </si>
  <si>
    <t>183 - LIFE WAY SPORTS</t>
  </si>
  <si>
    <t>184 - LINEA</t>
  </si>
  <si>
    <t>185 - LINHA LEVE</t>
  </si>
  <si>
    <t>8 - PRAIA</t>
  </si>
  <si>
    <t>186 - LIVY MALHAS</t>
  </si>
  <si>
    <t>9 - CALCA JEANS</t>
  </si>
  <si>
    <t>187 - LOBACK</t>
  </si>
  <si>
    <t>188 - LORENZETTI</t>
  </si>
  <si>
    <t>2 - CAMISETA</t>
  </si>
  <si>
    <t>189 - LS MALHARIA</t>
  </si>
  <si>
    <t>3 - INTIMA</t>
  </si>
  <si>
    <t>190 - LUCKYMAR PIJAMAS</t>
  </si>
  <si>
    <t>191 - LUIZINHO</t>
  </si>
  <si>
    <t>5 - CONJUNTO</t>
  </si>
  <si>
    <t>192 - LUNENDER</t>
  </si>
  <si>
    <t>193 - LUPO</t>
  </si>
  <si>
    <t>194 - LUXCEL</t>
  </si>
  <si>
    <t>8 - CALCA JEANS</t>
  </si>
  <si>
    <t>195 - M EAGLE</t>
  </si>
  <si>
    <t>9 - CAMISA</t>
  </si>
  <si>
    <t>196 - M P</t>
  </si>
  <si>
    <t>1 - PRODUTOS DIVERSOS</t>
  </si>
  <si>
    <t>197 - MAIS PROXIMA</t>
  </si>
  <si>
    <t>198 - MALHARIA BOSSI</t>
  </si>
  <si>
    <t>199 - MALHARIA LOURDINHA</t>
  </si>
  <si>
    <t>3 - BLUSA CAMISETA M C</t>
  </si>
  <si>
    <t>200 - MAMBOE</t>
  </si>
  <si>
    <t>201 - MANA MANIA</t>
  </si>
  <si>
    <t>5 - CALCA</t>
  </si>
  <si>
    <t>202 - MARCO</t>
  </si>
  <si>
    <t>203 - MASH</t>
  </si>
  <si>
    <t>204 - MC GIANT</t>
  </si>
  <si>
    <t>205 - MELTEX</t>
  </si>
  <si>
    <t>206 - MERCADAO 2 ACESSORIOS</t>
  </si>
  <si>
    <t>3 - BERMUDA</t>
  </si>
  <si>
    <t>207 - MIKS JEANS</t>
  </si>
  <si>
    <t>4 - BERMUDA JEANS</t>
  </si>
  <si>
    <t>208 - MILAGRES</t>
  </si>
  <si>
    <t>5 - CAMISA</t>
  </si>
  <si>
    <t>209 - MIMAR</t>
  </si>
  <si>
    <t>6 - CAMISA JEANS</t>
  </si>
  <si>
    <t>210 - MISS PECK  BRILHO TEEN</t>
  </si>
  <si>
    <t>7 - CAMISETA</t>
  </si>
  <si>
    <t>211 - MITRO IMPORTACAO</t>
  </si>
  <si>
    <t>212 - MOMENTUS</t>
  </si>
  <si>
    <t>1 - FORNO FOGAO</t>
  </si>
  <si>
    <t>213 - MOSAICO</t>
  </si>
  <si>
    <t>2 - MESA</t>
  </si>
  <si>
    <t>214 - MTA IND COM DE UTILIDADES DOMESTICA</t>
  </si>
  <si>
    <t>3 - UTENSILIO COZINHA</t>
  </si>
  <si>
    <t>215 - MUCS JEANS</t>
  </si>
  <si>
    <t>1 - BOTA</t>
  </si>
  <si>
    <t>216 - MULTIBRINK</t>
  </si>
  <si>
    <t>218 - MUNDO MANIA</t>
  </si>
  <si>
    <t>219 - MYLADY</t>
  </si>
  <si>
    <t>220 - MYLINK</t>
  </si>
  <si>
    <t>221 - N SIMOES</t>
  </si>
  <si>
    <t>222 - NATURAL</t>
  </si>
  <si>
    <t>223 - NAXOS</t>
  </si>
  <si>
    <t>224 - NEGA RIO</t>
  </si>
  <si>
    <t>225 - NIGRO</t>
  </si>
  <si>
    <t>226 - NIVEL A MODA</t>
  </si>
  <si>
    <t>227 - OH MY LOVE</t>
  </si>
  <si>
    <t>228 - OITO E TREZE</t>
  </si>
  <si>
    <t>229 - ONCROSS</t>
  </si>
  <si>
    <t>230 - ORACON</t>
  </si>
  <si>
    <t>231 - ORLA DA PRAIA</t>
  </si>
  <si>
    <t>232 - OXFORD</t>
  </si>
  <si>
    <t>233 - PANEX</t>
  </si>
  <si>
    <t>234 - PAPINHA BABY</t>
  </si>
  <si>
    <t>235 - PAULIMAR</t>
  </si>
  <si>
    <t>236 - PEPTUCHY JEANS</t>
  </si>
  <si>
    <t>237 - PERUSIN</t>
  </si>
  <si>
    <t>238 - PHAEL</t>
  </si>
  <si>
    <t>239 - PHILIPS</t>
  </si>
  <si>
    <t>240 - PLANET PLAY</t>
  </si>
  <si>
    <t>241 - PLASTILINDO</t>
  </si>
  <si>
    <t>242 - PORAO</t>
  </si>
  <si>
    <t>243 - PRETTY PLUS</t>
  </si>
  <si>
    <t>244 - PRINCESS</t>
  </si>
  <si>
    <t>245 - PZAMA HOME WEAR</t>
  </si>
  <si>
    <t>246 - QUEBRA CABECA</t>
  </si>
  <si>
    <t>247 - RADICAL STYLE</t>
  </si>
  <si>
    <t>248 - RAJIK</t>
  </si>
  <si>
    <t>249 - RALA LINDA</t>
  </si>
  <si>
    <t>250 - RANNUCY</t>
  </si>
  <si>
    <t>251 - RAYRA</t>
  </si>
  <si>
    <t>252 - RAZLA</t>
  </si>
  <si>
    <t>253 - REPUBLIC VIX</t>
  </si>
  <si>
    <t>254 - RIANTEX</t>
  </si>
  <si>
    <t>255 - RODHER</t>
  </si>
  <si>
    <t>256 - ROMITEX</t>
  </si>
  <si>
    <t>257 - ROSE FEIJAO</t>
  </si>
  <si>
    <t>259 - ROVITEX MALHAS</t>
  </si>
  <si>
    <t>261 - RUBI ME</t>
  </si>
  <si>
    <t>262 - RZLIO</t>
  </si>
  <si>
    <t>263 - S  LEE MODAS</t>
  </si>
  <si>
    <t>264 - SAMARA</t>
  </si>
  <si>
    <t>265 - SARTORI</t>
  </si>
  <si>
    <t>266 - SBA ALVHA</t>
  </si>
  <si>
    <t>267 - SCHANI</t>
  </si>
  <si>
    <t>268 - SEANITE</t>
  </si>
  <si>
    <t>270 - SELENE</t>
  </si>
  <si>
    <t>271 - SHIV SHAKTI</t>
  </si>
  <si>
    <t>272 - SIBRA</t>
  </si>
  <si>
    <t>273 - SID NYL</t>
  </si>
  <si>
    <t>274 - SILMAR PLASTICOS</t>
  </si>
  <si>
    <t>275 - SISLY</t>
  </si>
  <si>
    <t>276 - SKINA</t>
  </si>
  <si>
    <t>277 - SKN DO BRASIL</t>
  </si>
  <si>
    <t>278 - SOLETEX</t>
  </si>
  <si>
    <t>279 - SOUZA   CAMBOS</t>
  </si>
  <si>
    <t>280 - SOUZA   CAMBOS XAVANTES</t>
  </si>
  <si>
    <t>281 - SPECS</t>
  </si>
  <si>
    <t>283 - SUDOTEX</t>
  </si>
  <si>
    <t>284 - SUL BRASIL</t>
  </si>
  <si>
    <t>285 - SUPER TOYS</t>
  </si>
  <si>
    <t>286 - SURUKINHA</t>
  </si>
  <si>
    <t>287 - SVK</t>
  </si>
  <si>
    <t>288 - SWANY</t>
  </si>
  <si>
    <t>289 - TAURUS</t>
  </si>
  <si>
    <t>291 - TEKA TECELAGEM</t>
  </si>
  <si>
    <t>292 - TENDENZA</t>
  </si>
  <si>
    <t>293 - THIPTON</t>
  </si>
  <si>
    <t>294 - THRIVE CAMBOS</t>
  </si>
  <si>
    <t>295 - TIGS</t>
  </si>
  <si>
    <t>296 - TILEESUL</t>
  </si>
  <si>
    <t>297 - TIP TOP</t>
  </si>
  <si>
    <t>298 - TODA BELA</t>
  </si>
  <si>
    <t>299 - TOK GRILL</t>
  </si>
  <si>
    <t>300 - TOYNG</t>
  </si>
  <si>
    <t>301 - TRAMONTINA</t>
  </si>
  <si>
    <t>304 - TRICO TIME</t>
  </si>
  <si>
    <t>305 - TRIFIL SCALA   LUPO</t>
  </si>
  <si>
    <t>306 - TRIUMPH</t>
  </si>
  <si>
    <t>308 - TZE TEXTIL</t>
  </si>
  <si>
    <t>309 - UAI BRASIL</t>
  </si>
  <si>
    <t>310 - UNITERMI</t>
  </si>
  <si>
    <t>311 - VALE DA MODA</t>
  </si>
  <si>
    <t>313 - VENE</t>
  </si>
  <si>
    <t>314 - VENTURY</t>
  </si>
  <si>
    <t>315 - VESTE BEM</t>
  </si>
  <si>
    <t>316 - VI LINGERIE</t>
  </si>
  <si>
    <t>317 - VILLEVERT</t>
  </si>
  <si>
    <t>318 - VINCULO</t>
  </si>
  <si>
    <t>319 - WALCLE</t>
  </si>
  <si>
    <t>320 - WAUS</t>
  </si>
  <si>
    <t>321 - WHITE BEACH</t>
  </si>
  <si>
    <t>322 - XALINGO</t>
  </si>
  <si>
    <t>323 - ZANINI</t>
  </si>
  <si>
    <t>324 - ZORBA</t>
  </si>
  <si>
    <t>325 - NARSHA</t>
  </si>
  <si>
    <t>326 - STUDIO 106 GIRLS</t>
  </si>
  <si>
    <t>327 - VICKY BIJOU</t>
  </si>
  <si>
    <t>328 - NOLUXO BIJUTERIAS</t>
  </si>
  <si>
    <t>329 - BICHO BAGUNCA</t>
  </si>
  <si>
    <t>330 - PUPEE BRINQUEDOS</t>
  </si>
  <si>
    <t>331 - ELY MODAS E ACESSORIOS</t>
  </si>
  <si>
    <t>332 - ESTAMPARIA S/A</t>
  </si>
  <si>
    <t>333 - MUNDO LELE - TRIBO INFANTIL</t>
  </si>
  <si>
    <t>334 - TOALHAS ATLANTICA</t>
  </si>
  <si>
    <t>335 - PIANTE PIJAMAS</t>
  </si>
  <si>
    <t xml:space="preserve">336 - RCA TEXTIL </t>
  </si>
  <si>
    <t>337 - LUAL KIDS</t>
  </si>
  <si>
    <t xml:space="preserve">338 - DYDJOS </t>
  </si>
  <si>
    <t xml:space="preserve">339 - CIA GOTA </t>
  </si>
  <si>
    <t>340 - PARIZI</t>
  </si>
  <si>
    <t xml:space="preserve">341 - ZEE RUCCI </t>
  </si>
  <si>
    <t>342 - DAKOTA</t>
  </si>
  <si>
    <t>Banco de Dados</t>
  </si>
  <si>
    <t>testeee</t>
  </si>
  <si>
    <t>ref3</t>
  </si>
  <si>
    <t>ref4</t>
  </si>
  <si>
    <t>ref5</t>
  </si>
  <si>
    <t>ref6</t>
  </si>
  <si>
    <t>ref7</t>
  </si>
  <si>
    <t>ref8</t>
  </si>
  <si>
    <t>ref9</t>
  </si>
  <si>
    <t>ref10</t>
  </si>
  <si>
    <t>ref11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</si>
</sst>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$&quot;\ #,##0.00"/>
  </numFmts>
  <fonts count="19" x14ac:knownFonts="1">
    <font>
      <sz val="11"/>
      <color theme="1"/>
      <name val="Calibri"/>
      <family val="2"/>
      <scheme val="minor"/>
    </font>
    <font>
      <sz val="21"/>
      <color rgb="FF333333"/>
      <name val="Arial"/>
      <family val="2"/>
    </font>
    <font>
      <sz val="12"/>
      <color rgb="FF666666"/>
      <name val="Arial"/>
      <family val="2"/>
    </font>
    <font>
      <b/>
      <sz val="14"/>
      <color rgb="FF333333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sz val="10"/>
      <color rgb="FF666666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i/>
      <sz val="9"/>
      <color rgb="FF85200C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color theme="1"/>
      <name val="Arial"/>
      <family val="2"/>
    </font>
    <font>
      <b/>
      <sz val="10"/>
      <color rgb="FF919191"/>
      <name val="Arial"/>
      <family val="2"/>
    </font>
    <font>
      <sz val="1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theme="0"/>
      <name val="Arial"/>
      <family val="2"/>
    </font>
    <font>
      <sz val="8"/>
      <name val="Calibri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14999847407452621"/>
        <bgColor rgb="FFF5F5F5"/>
      </patternFill>
    </fill>
    <fill>
      <patternFill patternType="solid">
        <fgColor theme="0" tint="-4.9989318521683403E-2"/>
        <bgColor rgb="FFF9F9F9"/>
      </patternFill>
    </fill>
    <fill>
      <patternFill patternType="solid">
        <fgColor rgb="FFFFFFFF"/>
      </patternFill>
    </fill>
    <fill>
      <patternFill patternType="solid">
        <fgColor theme="0"/>
        <bgColor indexed="64"/>
      </patternFill>
    </fill>
    <fill>
      <patternFill patternType="solid">
        <fgColor rgb="FFF3F3F3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3E1EB2"/>
        <bgColor indexed="64"/>
      </patternFill>
    </fill>
    <fill>
      <patternFill patternType="solid">
        <fgColor rgb="FFB4DAD9"/>
        <bgColor indexed="64"/>
      </patternFill>
    </fill>
  </fills>
  <borders count="11">
    <border>
      <left/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/>
      <diagonal/>
    </border>
    <border>
      <left style="thin">
        <color rgb="FFCFCFCF"/>
      </left>
      <right/>
      <top/>
      <bottom/>
      <diagonal/>
    </border>
    <border>
      <left style="thin">
        <color rgb="FFCFCFCF"/>
      </left>
      <right style="thin">
        <color rgb="FFCFCFCF"/>
      </right>
      <top style="thin">
        <color rgb="FFCFCFCF"/>
      </top>
      <bottom/>
      <diagonal/>
    </border>
    <border>
      <left style="thin">
        <color theme="0" tint="-0.14999847407452621"/>
      </left>
      <right style="thin">
        <color theme="0" tint="-0.14999847407452621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rgb="FFCFCFCF"/>
      </left>
      <right/>
      <top style="thin">
        <color rgb="FFCFCFCF"/>
      </top>
      <bottom style="thin">
        <color rgb="FFCFCFCF"/>
      </bottom>
      <diagonal/>
    </border>
    <border>
      <left style="thin">
        <color rgb="FFCFCFCF"/>
      </left>
      <right style="thin">
        <color rgb="FFCFCFCF"/>
      </right>
      <top/>
      <bottom style="thin">
        <color rgb="FFCFCFCF"/>
      </bottom>
      <diagonal/>
    </border>
    <border>
      <left style="thin">
        <color rgb="FFCFCFCF"/>
      </left>
      <right style="thin">
        <color rgb="FFCFCFCF"/>
      </right>
      <top style="thin">
        <color theme="0" tint="-0.14999847407452621"/>
      </top>
      <bottom style="thin">
        <color theme="0" tint="-0.14999847407452621"/>
      </bottom>
      <diagonal/>
    </border>
    <border>
      <left style="thin">
        <color theme="0" tint="-0.14999847407452621"/>
      </left>
      <right style="thin">
        <color theme="0" tint="-0.14999847407452621"/>
      </right>
      <top/>
      <bottom style="thin">
        <color theme="0" tint="-0.14999847407452621"/>
      </bottom>
      <diagonal/>
    </border>
    <border>
      <left/>
      <right/>
      <top/>
      <bottom style="thin">
        <color theme="0" tint="-0.14999847407452621"/>
      </bottom>
      <diagonal/>
    </border>
  </borders>
  <cellStyleXfs count="2">
    <xf numFmtId="0" fontId="0" fillId="0" borderId="0"/>
    <xf numFmtId="0" fontId="4" fillId="0" borderId="0"/>
  </cellStyleXfs>
  <cellXfs count="43">
    <xf numFmtId="0" fontId="0" fillId="0" borderId="0" xfId="0"/>
    <xf numFmtId="0" fontId="0" fillId="2" borderId="0" xfId="0" applyFill="1"/>
    <xf numFmtId="0" fontId="1" fillId="2" borderId="0" xfId="0" applyFont="1" applyFill="1"/>
    <xf numFmtId="0" fontId="2" fillId="2" borderId="0" xfId="0" applyFont="1" applyFill="1"/>
    <xf numFmtId="0" fontId="0" fillId="4" borderId="0" xfId="0" applyFill="1"/>
    <xf numFmtId="0" fontId="0" fillId="5" borderId="0" xfId="0" applyFill="1"/>
    <xf numFmtId="0" fontId="3" fillId="6" borderId="0" xfId="0" applyFont="1" applyFill="1"/>
    <xf numFmtId="0" fontId="5" fillId="4" borderId="0" xfId="1" applyFont="1" applyFill="1"/>
    <xf numFmtId="0" fontId="3" fillId="7" borderId="0" xfId="0" applyFont="1" applyFill="1"/>
    <xf numFmtId="0" fontId="0" fillId="9" borderId="0" xfId="0" applyFill="1"/>
    <xf numFmtId="0" fontId="7" fillId="2" borderId="1" xfId="0" applyFont="1" applyFill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11" fillId="10" borderId="0" xfId="0" applyFont="1" applyFill="1" applyAlignment="1" applyProtection="1">
      <alignment horizontal="center" vertical="center" wrapText="1"/>
      <protection locked="0"/>
    </xf>
    <xf numFmtId="0" fontId="7" fillId="2" borderId="3" xfId="0" applyFont="1" applyFill="1" applyBorder="1" applyAlignment="1" applyProtection="1">
      <alignment horizontal="center" vertical="center" wrapText="1"/>
      <protection locked="0"/>
    </xf>
    <xf numFmtId="0" fontId="7" fillId="12" borderId="0" xfId="0" applyFont="1" applyFill="1" applyAlignment="1" applyProtection="1">
      <alignment horizontal="center" vertical="center" wrapText="1"/>
      <protection locked="0"/>
    </xf>
    <xf numFmtId="0" fontId="9" fillId="10" borderId="4" xfId="0" applyFont="1" applyFill="1" applyBorder="1" applyAlignment="1" applyProtection="1">
      <alignment horizontal="center" vertical="center" wrapText="1"/>
      <protection locked="0"/>
    </xf>
    <xf numFmtId="0" fontId="11" fillId="10" borderId="5" xfId="0" applyFont="1" applyFill="1" applyBorder="1" applyAlignment="1" applyProtection="1">
      <alignment horizontal="center" vertical="center" wrapText="1"/>
      <protection locked="0"/>
    </xf>
    <xf numFmtId="0" fontId="13" fillId="0" borderId="0" xfId="0" applyFont="1" applyAlignment="1">
      <alignment horizontal="center" vertical="center"/>
    </xf>
    <xf numFmtId="164" fontId="13" fillId="0" borderId="0" xfId="0" applyNumberFormat="1" applyFont="1" applyAlignment="1">
      <alignment horizontal="center" vertical="center"/>
    </xf>
    <xf numFmtId="10" fontId="13" fillId="0" borderId="0" xfId="0" applyNumberFormat="1" applyFont="1" applyAlignment="1">
      <alignment horizontal="center" vertical="center"/>
    </xf>
    <xf numFmtId="0" fontId="12" fillId="10" borderId="5" xfId="0" applyFont="1" applyFill="1" applyBorder="1" applyAlignment="1" applyProtection="1">
      <alignment horizontal="center" vertical="center" wrapText="1"/>
      <protection locked="0"/>
    </xf>
    <xf numFmtId="0" fontId="7" fillId="2" borderId="6" xfId="0" applyFont="1" applyFill="1" applyBorder="1" applyAlignment="1" applyProtection="1">
      <alignment horizontal="center" vertical="center" wrapText="1"/>
      <protection locked="0"/>
    </xf>
    <xf numFmtId="0" fontId="9" fillId="10" borderId="6" xfId="0" applyFont="1" applyFill="1" applyBorder="1" applyAlignment="1" applyProtection="1">
      <alignment horizontal="center" vertical="center" wrapText="1"/>
      <protection locked="0"/>
    </xf>
    <xf numFmtId="0" fontId="7" fillId="2" borderId="7" xfId="0" applyFont="1" applyFill="1" applyBorder="1" applyAlignment="1" applyProtection="1">
      <alignment horizontal="center" vertical="center" wrapText="1"/>
      <protection locked="0"/>
    </xf>
    <xf numFmtId="0" fontId="15" fillId="0" borderId="0" xfId="0" applyFont="1" applyAlignment="1">
      <alignment horizontal="center" vertical="center"/>
    </xf>
    <xf numFmtId="1" fontId="0" fillId="0" borderId="0" xfId="0" applyNumberFormat="1"/>
    <xf numFmtId="0" fontId="6" fillId="7" borderId="0" xfId="0" applyFont="1" applyFill="1" applyAlignment="1">
      <alignment vertical="center"/>
    </xf>
    <xf numFmtId="0" fontId="0" fillId="0" borderId="0" xfId="0"/>
    <xf numFmtId="0" fontId="0" fillId="5" borderId="0" xfId="0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0" fontId="0" fillId="2" borderId="0" xfId="0" applyFill="1" applyAlignment="1">
      <alignment horizontal="center"/>
    </xf>
    <xf numFmtId="0" fontId="14" fillId="8" borderId="0" xfId="0" applyFont="1" applyFill="1" applyAlignment="1" applyProtection="1">
      <alignment horizontal="left" vertical="center"/>
      <protection locked="0"/>
    </xf>
    <xf numFmtId="0" fontId="0" fillId="0" borderId="0" xfId="0" applyProtection="1">
      <protection locked="0"/>
    </xf>
    <xf numFmtId="0" fontId="8" fillId="8" borderId="0" xfId="0" applyFont="1" applyFill="1" applyAlignment="1" applyProtection="1">
      <alignment horizontal="left" vertical="center"/>
      <protection locked="0"/>
    </xf>
    <xf numFmtId="0" fontId="9" fillId="10" borderId="2" xfId="0" applyFont="1" applyFill="1" applyBorder="1" applyAlignment="1" applyProtection="1">
      <alignment horizontal="center" vertical="center" wrapText="1"/>
      <protection locked="0"/>
    </xf>
    <xf numFmtId="0" fontId="9" fillId="10" borderId="8" xfId="0" applyFont="1" applyFill="1" applyBorder="1" applyAlignment="1" applyProtection="1">
      <alignment horizontal="center" vertical="center" wrapText="1"/>
      <protection locked="0"/>
    </xf>
    <xf numFmtId="0" fontId="10" fillId="11" borderId="5" xfId="0" applyFont="1" applyFill="1" applyBorder="1" applyAlignment="1">
      <alignment horizontal="center" vertical="center"/>
    </xf>
    <xf numFmtId="0" fontId="0" fillId="0" borderId="5" xfId="0" applyBorder="1"/>
    <xf numFmtId="0" fontId="16" fillId="14" borderId="5" xfId="0" applyFont="1" applyFill="1" applyBorder="1" applyAlignment="1">
      <alignment horizontal="center" vertical="center"/>
    </xf>
    <xf numFmtId="0" fontId="17" fillId="13" borderId="9" xfId="0" applyFont="1" applyFill="1" applyBorder="1" applyAlignment="1">
      <alignment horizontal="center" vertical="center"/>
    </xf>
    <xf numFmtId="0" fontId="17" fillId="13" borderId="10" xfId="0" applyFont="1" applyFill="1" applyBorder="1" applyAlignment="1">
      <alignment horizontal="center" vertical="center"/>
    </xf>
    <xf numFmtId="1" fontId="13" fillId="0" borderId="0" xfId="0" applyNumberFormat="1" applyFont="1" applyAlignment="1">
      <alignment horizontal="center" vertical="center"/>
    </xf>
  </cellXfs>
  <cellStyles count="2">
    <cellStyle name="Hiperlink" xfId="1" builtinId="8"/>
    <cellStyle name="Normal" xfId="0" builtinId="0"/>
  </cellStyles>
  <dxfs count="8"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  <dxf>
      <font>
        <color rgb="FFA61C00"/>
      </font>
      <fill>
        <patternFill patternType="solid">
          <bgColor rgb="FFF4CCCC"/>
        </patternFill>
      </fill>
      <border>
        <left style="thin">
          <color rgb="FFCFCFCF"/>
        </left>
        <right style="thin">
          <color rgb="FFCFCFCF"/>
        </right>
        <top style="thin">
          <color rgb="FFCFCFCF"/>
        </top>
        <bottom style="thin">
          <color rgb="FFCFCFCF"/>
        </bottom>
      </border>
    </dxf>
    <dxf>
      <font>
        <color rgb="FF919191"/>
      </font>
    </dxf>
  </dxfs>
  <tableStyles count="0" defaultTableStyle="TableStyleMedium2" defaultPivotStyle="PivotStyleLight16"/>
  <colors>
    <mruColors>
      <color rgb="FFB4DAD9"/>
      <color rgb="FF3E1EB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50"/>
  <sheetViews>
    <sheetView workbookViewId="0">
      <selection activeCell="D7" sqref="D7"/>
    </sheetView>
  </sheetViews>
  <sheetFormatPr defaultRowHeight="15" x14ac:dyDescent="0.25"/>
  <cols>
    <col min="4" max="4" width="34.5703125" customWidth="1"/>
    <col min="13" max="13" width="17" customWidth="1"/>
  </cols>
  <sheetData>
    <row r="1" spans="1:15" x14ac:dyDescent="0.25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 ht="26.25" customHeight="1" x14ac:dyDescent="0.35">
      <c r="A2" s="1"/>
      <c r="B2" s="1"/>
      <c r="C2" s="1"/>
      <c r="D2" s="2" t="s">
        <v>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</row>
    <row r="3" spans="1:15" ht="15" customHeight="1" x14ac:dyDescent="0.25">
      <c r="A3" s="1"/>
      <c r="B3" s="1"/>
      <c r="C3" s="1"/>
      <c r="D3" s="3" t="s">
        <v>1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</row>
    <row r="4" spans="1:15" ht="15" customHeight="1" x14ac:dyDescent="0.25">
      <c r="A4" s="31"/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</row>
    <row r="5" spans="1:15" ht="3" customHeight="1" x14ac:dyDescent="0.25">
      <c r="A5" s="30"/>
      <c r="B5" s="27"/>
      <c r="C5" s="27"/>
      <c r="D5" s="27"/>
      <c r="E5" s="27"/>
      <c r="F5" s="27"/>
      <c r="G5" s="27"/>
      <c r="H5" s="27"/>
      <c r="I5" s="27"/>
      <c r="J5" s="27"/>
      <c r="K5" s="27"/>
      <c r="L5" s="27"/>
      <c r="M5" s="27"/>
      <c r="N5" s="27"/>
      <c r="O5" s="27"/>
    </row>
    <row r="6" spans="1:15" ht="30.75" customHeight="1" x14ac:dyDescent="0.25">
      <c r="A6" s="4"/>
      <c r="B6" s="4"/>
      <c r="C6" s="4"/>
      <c r="D6" s="4"/>
      <c r="E6" s="29"/>
      <c r="F6" s="28"/>
      <c r="G6" s="28"/>
      <c r="H6" s="27"/>
      <c r="I6" s="27"/>
      <c r="J6" s="27"/>
      <c r="K6" s="27"/>
      <c r="L6" s="27"/>
      <c r="M6" s="27"/>
      <c r="N6" s="27"/>
      <c r="O6" s="27"/>
    </row>
    <row r="7" spans="1:15" ht="18" customHeight="1" x14ac:dyDescent="0.25">
      <c r="A7" s="4"/>
      <c r="B7" s="6" t="s">
        <v>2</v>
      </c>
      <c r="C7" s="4"/>
      <c r="D7" s="4"/>
      <c r="E7" s="27"/>
      <c r="F7" s="27"/>
      <c r="G7" s="8" t="s">
        <v>3</v>
      </c>
      <c r="H7" s="5"/>
      <c r="I7" s="5"/>
      <c r="J7" s="5"/>
      <c r="K7" s="5"/>
      <c r="L7" s="5"/>
      <c r="M7" s="5"/>
      <c r="N7" s="5"/>
      <c r="O7" s="5"/>
    </row>
    <row r="8" spans="1:15" x14ac:dyDescent="0.25">
      <c r="A8" s="4"/>
      <c r="B8" s="29"/>
      <c r="C8" s="27"/>
      <c r="D8" s="27"/>
      <c r="E8" s="27"/>
      <c r="F8" s="27"/>
      <c r="G8" s="5"/>
      <c r="H8" s="5"/>
      <c r="I8" s="5"/>
      <c r="J8" s="5"/>
      <c r="K8" s="5"/>
      <c r="L8" s="5"/>
      <c r="M8" s="5"/>
      <c r="N8" s="5"/>
      <c r="O8" s="5"/>
    </row>
    <row r="9" spans="1:15" x14ac:dyDescent="0.25">
      <c r="A9" s="4"/>
      <c r="B9" s="7" t="s">
        <v>4</v>
      </c>
      <c r="C9" s="4"/>
      <c r="D9" s="4"/>
      <c r="E9" s="27"/>
      <c r="F9" s="27"/>
      <c r="G9" s="5"/>
      <c r="H9" s="5"/>
      <c r="I9" s="5"/>
      <c r="J9" s="5"/>
      <c r="K9" s="5"/>
      <c r="L9" s="5"/>
      <c r="M9" s="5"/>
      <c r="N9" s="5"/>
      <c r="O9" s="5"/>
    </row>
    <row r="10" spans="1:15" x14ac:dyDescent="0.25">
      <c r="A10" s="4"/>
      <c r="B10" s="7" t="s">
        <v>5</v>
      </c>
      <c r="C10" s="4"/>
      <c r="D10" s="4"/>
      <c r="E10" s="27"/>
      <c r="F10" s="27"/>
      <c r="G10" s="5"/>
      <c r="H10" s="26" t="s">
        <v>6</v>
      </c>
      <c r="I10" s="27"/>
      <c r="J10" s="27"/>
      <c r="K10" s="27"/>
      <c r="L10" s="27"/>
      <c r="M10" s="27"/>
      <c r="N10" s="5"/>
      <c r="O10" s="5"/>
    </row>
    <row r="11" spans="1:15" x14ac:dyDescent="0.25">
      <c r="A11" s="4"/>
      <c r="B11" s="7" t="s">
        <v>7</v>
      </c>
      <c r="C11" s="4"/>
      <c r="D11" s="4"/>
      <c r="E11" s="27"/>
      <c r="F11" s="27"/>
      <c r="G11" s="5"/>
      <c r="H11" s="5"/>
      <c r="I11" s="5"/>
      <c r="J11" s="5"/>
      <c r="K11" s="5"/>
      <c r="L11" s="5"/>
      <c r="M11" s="5"/>
      <c r="N11" s="5"/>
      <c r="O11" s="5"/>
    </row>
    <row r="12" spans="1:15" x14ac:dyDescent="0.25">
      <c r="A12" s="4"/>
      <c r="B12" s="4"/>
      <c r="C12" s="4"/>
      <c r="D12" s="4"/>
      <c r="E12" s="27"/>
      <c r="F12" s="27"/>
      <c r="G12" s="5"/>
      <c r="H12" s="5"/>
      <c r="I12" s="5"/>
      <c r="J12" s="5"/>
      <c r="K12" s="5"/>
      <c r="L12" s="5"/>
      <c r="M12" s="5"/>
      <c r="N12" s="5"/>
      <c r="O12" s="5"/>
    </row>
    <row r="13" spans="1:15" x14ac:dyDescent="0.25">
      <c r="A13" s="4"/>
      <c r="B13" s="4"/>
      <c r="C13" s="4"/>
      <c r="D13" s="4"/>
      <c r="E13" s="27"/>
      <c r="F13" s="27"/>
      <c r="G13" s="5"/>
      <c r="H13" s="5"/>
      <c r="I13" s="5"/>
      <c r="J13" s="5"/>
      <c r="K13" s="5"/>
      <c r="L13" s="5"/>
      <c r="M13" s="5"/>
      <c r="N13" s="5"/>
      <c r="O13" s="5"/>
    </row>
    <row r="14" spans="1:15" x14ac:dyDescent="0.25">
      <c r="A14" s="4"/>
      <c r="B14" s="4"/>
      <c r="C14" s="4"/>
      <c r="D14" s="4"/>
      <c r="E14" s="27"/>
      <c r="F14" s="27"/>
      <c r="G14" s="5"/>
      <c r="H14" s="5"/>
      <c r="I14" s="5"/>
      <c r="J14" s="5"/>
      <c r="K14" s="5"/>
      <c r="L14" s="5"/>
      <c r="M14" s="5"/>
      <c r="N14" s="5"/>
      <c r="O14" s="5"/>
    </row>
    <row r="15" spans="1:15" x14ac:dyDescent="0.25">
      <c r="A15" s="4"/>
      <c r="B15" s="4"/>
      <c r="C15" s="4"/>
      <c r="D15" s="4"/>
      <c r="E15" s="27"/>
      <c r="F15" s="27"/>
      <c r="G15" s="5"/>
      <c r="H15" s="5"/>
      <c r="I15" s="5"/>
      <c r="J15" s="5"/>
      <c r="K15" s="5"/>
      <c r="L15" s="5"/>
      <c r="M15" s="5"/>
      <c r="N15" s="5"/>
      <c r="O15" s="5"/>
    </row>
    <row r="16" spans="1:15" x14ac:dyDescent="0.25">
      <c r="A16" s="4"/>
      <c r="B16" s="4"/>
      <c r="C16" s="4"/>
      <c r="D16" s="4"/>
      <c r="E16" s="27"/>
      <c r="F16" s="27"/>
      <c r="G16" s="5"/>
      <c r="H16" s="5"/>
      <c r="I16" s="5"/>
      <c r="J16" s="5"/>
      <c r="K16" s="5"/>
      <c r="L16" s="5"/>
      <c r="M16" s="5"/>
      <c r="N16" s="5"/>
      <c r="O16" s="5"/>
    </row>
    <row r="17" spans="1:15" x14ac:dyDescent="0.25">
      <c r="A17" s="4"/>
      <c r="B17" s="4"/>
      <c r="C17" s="4"/>
      <c r="D17" s="4"/>
      <c r="E17" s="27"/>
      <c r="F17" s="27"/>
      <c r="G17" s="5"/>
      <c r="H17" s="5"/>
      <c r="I17" s="5"/>
      <c r="J17" s="5"/>
      <c r="K17" s="5"/>
      <c r="L17" s="5"/>
      <c r="M17" s="5"/>
      <c r="N17" s="5"/>
      <c r="O17" s="5"/>
    </row>
    <row r="18" spans="1:15" x14ac:dyDescent="0.25">
      <c r="A18" s="4"/>
      <c r="B18" s="4"/>
      <c r="C18" s="4"/>
      <c r="D18" s="4"/>
      <c r="E18" s="27"/>
      <c r="F18" s="27"/>
      <c r="G18" s="5"/>
      <c r="H18" s="5"/>
      <c r="I18" s="5"/>
      <c r="J18" s="5"/>
      <c r="K18" s="5"/>
      <c r="L18" s="5"/>
      <c r="M18" s="5"/>
      <c r="N18" s="5"/>
      <c r="O18" s="5"/>
    </row>
    <row r="19" spans="1:15" x14ac:dyDescent="0.25">
      <c r="A19" s="4"/>
      <c r="B19" s="4"/>
      <c r="C19" s="4"/>
      <c r="D19" s="4"/>
      <c r="E19" s="27"/>
      <c r="F19" s="27"/>
      <c r="G19" s="5"/>
      <c r="H19" s="5"/>
      <c r="I19" s="5"/>
      <c r="J19" s="5"/>
      <c r="K19" s="5"/>
      <c r="L19" s="5"/>
      <c r="M19" s="5"/>
      <c r="N19" s="5"/>
      <c r="O19" s="5"/>
    </row>
    <row r="20" spans="1:15" x14ac:dyDescent="0.25">
      <c r="A20" s="4"/>
      <c r="B20" s="4"/>
      <c r="C20" s="4"/>
      <c r="D20" s="4"/>
      <c r="E20" s="27"/>
      <c r="F20" s="27"/>
      <c r="G20" s="5"/>
      <c r="H20" s="5"/>
      <c r="I20" s="5"/>
      <c r="J20" s="5"/>
      <c r="K20" s="5"/>
      <c r="L20" s="5"/>
      <c r="M20" s="5"/>
      <c r="N20" s="5"/>
      <c r="O20" s="5"/>
    </row>
    <row r="21" spans="1:15" x14ac:dyDescent="0.25">
      <c r="A21" s="4"/>
      <c r="B21" s="4"/>
      <c r="C21" s="4"/>
      <c r="D21" s="4"/>
      <c r="E21" s="27"/>
      <c r="F21" s="27"/>
      <c r="G21" s="5"/>
      <c r="H21" s="5"/>
      <c r="I21" s="5"/>
      <c r="J21" s="5"/>
      <c r="K21" s="5"/>
      <c r="L21" s="5"/>
      <c r="M21" s="5"/>
      <c r="N21" s="5"/>
      <c r="O21" s="5"/>
    </row>
    <row r="22" spans="1:15" x14ac:dyDescent="0.25">
      <c r="A22" s="4"/>
      <c r="B22" s="4"/>
      <c r="C22" s="4"/>
      <c r="D22" s="4"/>
      <c r="E22" s="27"/>
      <c r="F22" s="27"/>
      <c r="G22" s="5"/>
      <c r="H22" s="5"/>
      <c r="I22" s="5"/>
      <c r="J22" s="5"/>
      <c r="K22" s="5"/>
      <c r="L22" s="5"/>
      <c r="M22" s="5"/>
      <c r="N22" s="5"/>
      <c r="O22" s="5"/>
    </row>
    <row r="23" spans="1:15" x14ac:dyDescent="0.25">
      <c r="A23" s="4"/>
      <c r="B23" s="4"/>
      <c r="C23" s="4"/>
      <c r="D23" s="4"/>
      <c r="E23" s="27"/>
      <c r="F23" s="27"/>
      <c r="G23" s="5"/>
      <c r="H23" s="5"/>
      <c r="I23" s="5"/>
      <c r="J23" s="5"/>
      <c r="K23" s="5"/>
      <c r="L23" s="5"/>
      <c r="M23" s="5"/>
      <c r="N23" s="5"/>
      <c r="O23" s="5"/>
    </row>
    <row r="24" spans="1:15" x14ac:dyDescent="0.25">
      <c r="A24" s="4"/>
      <c r="B24" s="4"/>
      <c r="C24" s="4"/>
      <c r="D24" s="4"/>
      <c r="E24" s="27"/>
      <c r="F24" s="27"/>
      <c r="G24" s="5"/>
      <c r="H24" s="5"/>
      <c r="I24" s="5"/>
      <c r="J24" s="5"/>
      <c r="K24" s="5"/>
      <c r="L24" s="5"/>
      <c r="M24" s="5"/>
      <c r="N24" s="5"/>
      <c r="O24" s="5"/>
    </row>
    <row r="25" spans="1:15" x14ac:dyDescent="0.25">
      <c r="A25" s="4"/>
      <c r="B25" s="4"/>
      <c r="C25" s="4"/>
      <c r="D25" s="4"/>
      <c r="E25" s="27"/>
      <c r="F25" s="27"/>
      <c r="G25" s="5"/>
      <c r="H25" s="5"/>
      <c r="I25" s="5"/>
      <c r="J25" s="5"/>
      <c r="K25" s="5"/>
      <c r="L25" s="5"/>
      <c r="M25" s="5"/>
      <c r="N25" s="5"/>
      <c r="O25" s="5"/>
    </row>
    <row r="26" spans="1:15" x14ac:dyDescent="0.25">
      <c r="A26" s="4"/>
      <c r="B26" s="4"/>
      <c r="C26" s="4"/>
      <c r="D26" s="4"/>
      <c r="E26" s="27"/>
      <c r="F26" s="27"/>
      <c r="G26" s="5"/>
      <c r="H26" s="5"/>
      <c r="I26" s="5"/>
      <c r="J26" s="5"/>
      <c r="K26" s="5"/>
      <c r="L26" s="5"/>
      <c r="M26" s="5"/>
      <c r="N26" s="5"/>
      <c r="O26" s="5"/>
    </row>
    <row r="27" spans="1:15" x14ac:dyDescent="0.25">
      <c r="A27" s="4"/>
      <c r="B27" s="4"/>
      <c r="C27" s="4"/>
      <c r="D27" s="4"/>
      <c r="E27" s="27"/>
      <c r="F27" s="27"/>
      <c r="G27" s="5"/>
      <c r="H27" s="5"/>
      <c r="I27" s="5"/>
      <c r="J27" s="5"/>
      <c r="K27" s="5"/>
      <c r="L27" s="5"/>
      <c r="M27" s="5"/>
      <c r="N27" s="5"/>
      <c r="O27" s="5"/>
    </row>
    <row r="28" spans="1:15" x14ac:dyDescent="0.25">
      <c r="A28" s="4"/>
      <c r="B28" s="4"/>
      <c r="C28" s="4"/>
      <c r="D28" s="4"/>
      <c r="E28" s="27"/>
      <c r="F28" s="27"/>
      <c r="G28" s="5"/>
      <c r="H28" s="5"/>
      <c r="I28" s="5"/>
      <c r="J28" s="5"/>
      <c r="K28" s="5"/>
      <c r="L28" s="5"/>
      <c r="M28" s="5"/>
      <c r="N28" s="5"/>
      <c r="O28" s="5"/>
    </row>
    <row r="29" spans="1:15" x14ac:dyDescent="0.25">
      <c r="A29" s="4"/>
      <c r="B29" s="4"/>
      <c r="C29" s="4"/>
      <c r="D29" s="4"/>
      <c r="E29" s="27"/>
      <c r="F29" s="27"/>
      <c r="G29" s="5"/>
      <c r="H29" s="5"/>
      <c r="I29" s="5"/>
      <c r="J29" s="5"/>
      <c r="K29" s="5"/>
      <c r="L29" s="5"/>
      <c r="M29" s="5"/>
      <c r="N29" s="5"/>
      <c r="O29" s="5"/>
    </row>
    <row r="30" spans="1:15" x14ac:dyDescent="0.25">
      <c r="A30" s="4"/>
      <c r="B30" s="4"/>
      <c r="C30" s="4"/>
      <c r="D30" s="4"/>
      <c r="E30" s="27"/>
      <c r="F30" s="27"/>
      <c r="G30" s="5"/>
      <c r="H30" s="5"/>
      <c r="I30" s="5"/>
      <c r="J30" s="5"/>
      <c r="K30" s="5"/>
      <c r="L30" s="5"/>
      <c r="M30" s="5"/>
      <c r="N30" s="5"/>
      <c r="O30" s="5"/>
    </row>
    <row r="31" spans="1:15" x14ac:dyDescent="0.25">
      <c r="A31" s="4"/>
      <c r="B31" s="4"/>
      <c r="C31" s="4"/>
      <c r="D31" s="4"/>
      <c r="E31" s="27"/>
      <c r="F31" s="27"/>
      <c r="G31" s="5"/>
      <c r="H31" s="5"/>
      <c r="I31" s="5"/>
      <c r="J31" s="5"/>
      <c r="K31" s="5"/>
      <c r="L31" s="5"/>
      <c r="M31" s="5"/>
      <c r="N31" s="5"/>
      <c r="O31" s="5"/>
    </row>
    <row r="32" spans="1:15" x14ac:dyDescent="0.25">
      <c r="A32" s="4"/>
      <c r="B32" s="4"/>
      <c r="C32" s="4"/>
      <c r="D32" s="4"/>
      <c r="E32" s="27"/>
      <c r="F32" s="27"/>
      <c r="G32" s="5"/>
      <c r="H32" s="5"/>
      <c r="I32" s="5"/>
      <c r="J32" s="5"/>
      <c r="K32" s="5"/>
      <c r="L32" s="5"/>
      <c r="M32" s="5"/>
      <c r="N32" s="5"/>
      <c r="O32" s="5"/>
    </row>
    <row r="33" spans="1:15" x14ac:dyDescent="0.25">
      <c r="A33" s="4"/>
      <c r="B33" s="4"/>
      <c r="C33" s="4"/>
      <c r="D33" s="4"/>
      <c r="E33" s="27"/>
      <c r="F33" s="27"/>
      <c r="G33" s="5"/>
      <c r="H33" s="5"/>
      <c r="I33" s="5"/>
      <c r="J33" s="5"/>
      <c r="K33" s="5"/>
      <c r="L33" s="5"/>
      <c r="M33" s="5"/>
      <c r="N33" s="5"/>
      <c r="O33" s="5"/>
    </row>
    <row r="34" spans="1:15" x14ac:dyDescent="0.25">
      <c r="A34" s="4"/>
      <c r="B34" s="4"/>
      <c r="C34" s="4"/>
      <c r="D34" s="4"/>
      <c r="E34" s="27"/>
      <c r="F34" s="27"/>
      <c r="G34" s="5"/>
      <c r="H34" s="5"/>
      <c r="I34" s="5"/>
      <c r="J34" s="5"/>
      <c r="K34" s="5"/>
      <c r="L34" s="5"/>
      <c r="M34" s="5"/>
      <c r="N34" s="5"/>
      <c r="O34" s="5"/>
    </row>
    <row r="35" spans="1:15" x14ac:dyDescent="0.25">
      <c r="A35" s="4"/>
      <c r="B35" s="4"/>
      <c r="C35" s="4"/>
      <c r="D35" s="4"/>
      <c r="E35" s="27"/>
      <c r="F35" s="27"/>
      <c r="G35" s="5"/>
      <c r="H35" s="5"/>
      <c r="I35" s="5"/>
      <c r="J35" s="5"/>
      <c r="K35" s="5"/>
      <c r="L35" s="5"/>
      <c r="M35" s="5"/>
      <c r="N35" s="5"/>
      <c r="O35" s="5"/>
    </row>
    <row r="36" spans="1:15" x14ac:dyDescent="0.25">
      <c r="A36" s="4"/>
      <c r="B36" s="4"/>
      <c r="C36" s="4"/>
      <c r="D36" s="4"/>
      <c r="E36" s="27"/>
      <c r="F36" s="27"/>
      <c r="G36" s="5"/>
      <c r="H36" s="5"/>
      <c r="I36" s="5"/>
      <c r="J36" s="5"/>
      <c r="K36" s="5"/>
      <c r="L36" s="5"/>
      <c r="M36" s="5"/>
      <c r="N36" s="5"/>
      <c r="O36" s="5"/>
    </row>
    <row r="37" spans="1:15" x14ac:dyDescent="0.25">
      <c r="A37" s="4"/>
      <c r="B37" s="4"/>
      <c r="C37" s="4"/>
      <c r="D37" s="4"/>
      <c r="E37" s="27"/>
      <c r="F37" s="27"/>
      <c r="G37" s="5"/>
      <c r="H37" s="5"/>
      <c r="I37" s="5"/>
      <c r="J37" s="5"/>
      <c r="K37" s="5"/>
      <c r="L37" s="5"/>
      <c r="M37" s="5"/>
      <c r="N37" s="5"/>
      <c r="O37" s="5"/>
    </row>
    <row r="38" spans="1:15" x14ac:dyDescent="0.25">
      <c r="A38" s="4"/>
      <c r="B38" s="4"/>
      <c r="C38" s="4"/>
      <c r="D38" s="4"/>
      <c r="E38" s="27"/>
      <c r="F38" s="27"/>
      <c r="G38" s="5"/>
      <c r="H38" s="5"/>
      <c r="I38" s="5"/>
      <c r="J38" s="5"/>
      <c r="K38" s="5"/>
      <c r="L38" s="5"/>
      <c r="M38" s="5"/>
      <c r="N38" s="5"/>
      <c r="O38" s="5"/>
    </row>
    <row r="39" spans="1:15" x14ac:dyDescent="0.25">
      <c r="A39" s="4"/>
      <c r="B39" s="4"/>
      <c r="C39" s="4"/>
      <c r="D39" s="4"/>
      <c r="E39" s="27"/>
      <c r="F39" s="27"/>
      <c r="G39" s="5"/>
      <c r="H39" s="5"/>
      <c r="I39" s="5"/>
      <c r="J39" s="5"/>
      <c r="K39" s="5"/>
      <c r="L39" s="5"/>
      <c r="M39" s="5"/>
      <c r="N39" s="5"/>
      <c r="O39" s="5"/>
    </row>
    <row r="40" spans="1:15" x14ac:dyDescent="0.25">
      <c r="A40" s="4"/>
      <c r="B40" s="4"/>
      <c r="C40" s="4"/>
      <c r="D40" s="4"/>
      <c r="E40" s="27"/>
      <c r="F40" s="27"/>
      <c r="G40" s="5"/>
      <c r="H40" s="5"/>
      <c r="I40" s="5"/>
      <c r="J40" s="5"/>
      <c r="K40" s="5"/>
      <c r="L40" s="5"/>
      <c r="M40" s="5"/>
      <c r="N40" s="5"/>
      <c r="O40" s="5"/>
    </row>
    <row r="41" spans="1:15" x14ac:dyDescent="0.25">
      <c r="A41" s="4"/>
      <c r="B41" s="4"/>
      <c r="C41" s="4"/>
      <c r="D41" s="4"/>
      <c r="E41" s="27"/>
      <c r="F41" s="27"/>
      <c r="G41" s="5"/>
      <c r="H41" s="5"/>
      <c r="I41" s="5"/>
      <c r="J41" s="5"/>
      <c r="K41" s="5"/>
      <c r="L41" s="5"/>
      <c r="M41" s="5"/>
      <c r="N41" s="5"/>
      <c r="O41" s="5"/>
    </row>
    <row r="42" spans="1:15" x14ac:dyDescent="0.25">
      <c r="A42" s="4"/>
      <c r="B42" s="4"/>
      <c r="C42" s="4"/>
      <c r="D42" s="4"/>
      <c r="E42" s="27"/>
      <c r="F42" s="27"/>
      <c r="G42" s="5"/>
      <c r="H42" s="5"/>
      <c r="I42" s="5"/>
      <c r="J42" s="5"/>
      <c r="K42" s="5"/>
      <c r="L42" s="5"/>
      <c r="M42" s="5"/>
      <c r="N42" s="5"/>
      <c r="O42" s="5"/>
    </row>
    <row r="43" spans="1:15" x14ac:dyDescent="0.25">
      <c r="A43" s="4"/>
      <c r="B43" s="4"/>
      <c r="C43" s="4"/>
      <c r="D43" s="4"/>
      <c r="E43" s="27"/>
      <c r="F43" s="27"/>
      <c r="G43" s="5"/>
      <c r="H43" s="5"/>
      <c r="I43" s="5"/>
      <c r="J43" s="5"/>
      <c r="K43" s="5"/>
      <c r="L43" s="5"/>
      <c r="M43" s="5"/>
      <c r="N43" s="5"/>
      <c r="O43" s="5"/>
    </row>
    <row r="44" spans="1:15" x14ac:dyDescent="0.25">
      <c r="A44" s="4"/>
      <c r="B44" s="4"/>
      <c r="C44" s="4"/>
      <c r="D44" s="4"/>
      <c r="E44" s="27"/>
      <c r="F44" s="27"/>
      <c r="G44" s="5"/>
      <c r="H44" s="5"/>
      <c r="I44" s="5"/>
      <c r="J44" s="5"/>
      <c r="K44" s="5"/>
      <c r="L44" s="5"/>
      <c r="M44" s="5"/>
      <c r="N44" s="5"/>
      <c r="O44" s="5"/>
    </row>
    <row r="45" spans="1:15" x14ac:dyDescent="0.25">
      <c r="A45" s="4"/>
      <c r="B45" s="4"/>
      <c r="C45" s="4"/>
      <c r="D45" s="4"/>
      <c r="E45" s="27"/>
      <c r="F45" s="27"/>
      <c r="G45" s="5"/>
      <c r="H45" s="5"/>
      <c r="I45" s="5"/>
      <c r="J45" s="5"/>
      <c r="K45" s="5"/>
      <c r="L45" s="5"/>
      <c r="M45" s="5"/>
      <c r="N45" s="5"/>
      <c r="O45" s="5"/>
    </row>
    <row r="46" spans="1:15" x14ac:dyDescent="0.25">
      <c r="A46" s="4"/>
      <c r="B46" s="4"/>
      <c r="C46" s="4"/>
      <c r="D46" s="4"/>
      <c r="E46" s="27"/>
      <c r="F46" s="27"/>
      <c r="G46" s="5"/>
      <c r="H46" s="5"/>
      <c r="I46" s="5"/>
      <c r="J46" s="5"/>
      <c r="K46" s="5"/>
      <c r="L46" s="5"/>
      <c r="M46" s="5"/>
      <c r="N46" s="5"/>
      <c r="O46" s="5"/>
    </row>
    <row r="47" spans="1:15" x14ac:dyDescent="0.25">
      <c r="A47" s="4"/>
      <c r="B47" s="4"/>
      <c r="C47" s="4"/>
      <c r="D47" s="4"/>
      <c r="E47" s="27"/>
      <c r="F47" s="27"/>
      <c r="G47" s="5"/>
      <c r="H47" s="5"/>
      <c r="I47" s="5"/>
      <c r="J47" s="5"/>
      <c r="K47" s="5"/>
      <c r="L47" s="5"/>
      <c r="M47" s="5"/>
      <c r="N47" s="5"/>
      <c r="O47" s="5"/>
    </row>
    <row r="48" spans="1:15" x14ac:dyDescent="0.25">
      <c r="A48" s="4"/>
      <c r="B48" s="4"/>
      <c r="C48" s="4"/>
      <c r="D48" s="4"/>
      <c r="E48" s="27"/>
      <c r="F48" s="27"/>
      <c r="G48" s="5"/>
      <c r="H48" s="5"/>
      <c r="I48" s="5"/>
      <c r="J48" s="5"/>
      <c r="K48" s="5"/>
      <c r="L48" s="5"/>
      <c r="M48" s="5"/>
      <c r="N48" s="5"/>
      <c r="O48" s="5"/>
    </row>
    <row r="49" spans="1:15" x14ac:dyDescent="0.25">
      <c r="A49" s="4"/>
      <c r="B49" s="4"/>
      <c r="C49" s="4"/>
      <c r="D49" s="4"/>
      <c r="E49" s="27"/>
      <c r="F49" s="27"/>
      <c r="G49" s="5"/>
      <c r="H49" s="5"/>
      <c r="I49" s="5"/>
      <c r="J49" s="5"/>
      <c r="K49" s="5"/>
      <c r="L49" s="5"/>
      <c r="M49" s="5"/>
      <c r="N49" s="5"/>
      <c r="O49" s="5"/>
    </row>
    <row r="50" spans="1:15" x14ac:dyDescent="0.25">
      <c r="A50" s="4"/>
      <c r="B50" s="4"/>
      <c r="C50" s="4"/>
      <c r="D50" s="4"/>
      <c r="E50" s="27"/>
      <c r="F50" s="27"/>
      <c r="G50" s="5"/>
      <c r="H50" s="5"/>
      <c r="I50" s="5"/>
      <c r="J50" s="5"/>
      <c r="K50" s="5"/>
      <c r="L50" s="5"/>
      <c r="M50" s="5"/>
      <c r="N50" s="5"/>
      <c r="O50" s="5"/>
    </row>
  </sheetData>
  <mergeCells count="7">
    <mergeCell ref="A4:O4"/>
    <mergeCell ref="E6:E50"/>
    <mergeCell ref="H10:M10"/>
    <mergeCell ref="F6:F50"/>
    <mergeCell ref="B8:D8"/>
    <mergeCell ref="G6:O6"/>
    <mergeCell ref="A5:O5"/>
  </mergeCells>
  <hyperlinks>
    <hyperlink ref="B9" location="'Cadastro de Produtos'!A1" display="Cadastro de Produtos" xr:uid="{00000000-0004-0000-0000-000000000000}"/>
    <hyperlink ref="B10" location="'Cadastro de Pedidos'!A1" display="Cadastro de Pedidos" xr:uid="{00000000-0004-0000-0000-000001000000}"/>
    <hyperlink ref="B11" location="'Cadastro de Marcas'!A1" display="Cadastro de Marcas" xr:uid="{00000000-0004-0000-0000-000002000000}"/>
  </hyperlinks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A1:AE327"/>
  <sheetViews>
    <sheetView tabSelected="1" zoomScaleNormal="100" workbookViewId="0">
      <pane ySplit="5" topLeftCell="A6" activePane="bottomLeft" state="frozen"/>
      <selection pane="bottomLeft" activeCell="C7" sqref="C7"/>
    </sheetView>
  </sheetViews>
  <sheetFormatPr defaultRowHeight="20.100000000000001" customHeight="1" x14ac:dyDescent="0.25"/>
  <cols>
    <col min="1" max="1" width="23.85546875" bestFit="1" customWidth="1"/>
    <col min="2" max="2" width="26.85546875" bestFit="1" customWidth="1"/>
    <col min="3" max="3" width="45.42578125" bestFit="1" customWidth="1"/>
    <col min="4" max="4" width="46.42578125" customWidth="1"/>
    <col min="5" max="5" width="26.5703125" bestFit="1" customWidth="1"/>
    <col min="6" max="6" width="12.28515625" bestFit="1" customWidth="1"/>
    <col min="7" max="7" width="13.42578125" bestFit="1" customWidth="1"/>
    <col min="8" max="8" width="24.85546875" bestFit="1" customWidth="1"/>
    <col min="9" max="9" width="12.85546875" bestFit="1" customWidth="1"/>
    <col min="10" max="10" width="10.42578125" bestFit="1" customWidth="1"/>
    <col min="11" max="11" width="17.42578125" bestFit="1" customWidth="1"/>
    <col min="12" max="12" width="10.42578125" bestFit="1" customWidth="1"/>
    <col min="13" max="13" width="13.42578125" bestFit="1" customWidth="1"/>
    <col min="14" max="14" width="6.85546875" bestFit="1" customWidth="1"/>
    <col min="15" max="15" width="4.7109375" bestFit="1" customWidth="1"/>
    <col min="16" max="16" width="37" bestFit="1" customWidth="1"/>
    <col min="28" max="28" width="10.140625" bestFit="1" customWidth="1"/>
    <col min="30" max="30" width="13.7109375" bestFit="1" customWidth="1"/>
  </cols>
  <sheetData>
    <row r="1" spans="1:31" ht="15" customHeight="1" x14ac:dyDescent="0.25">
      <c r="A1" s="32" t="s">
        <v>8</v>
      </c>
      <c r="B1" s="33"/>
      <c r="C1" s="33"/>
      <c r="D1" s="33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  <c r="Q1" s="37" t="s">
        <v>9</v>
      </c>
      <c r="R1" s="38"/>
      <c r="S1" s="38"/>
      <c r="T1" s="38"/>
      <c r="U1" s="38"/>
      <c r="V1" s="38"/>
      <c r="W1" s="38"/>
      <c r="X1" s="38"/>
      <c r="Y1" s="39" t="s">
        <v>573</v>
      </c>
      <c r="Z1" s="39"/>
      <c r="AA1" s="39"/>
      <c r="AB1" s="39"/>
      <c r="AC1" s="39"/>
      <c r="AD1" s="39"/>
    </row>
    <row r="2" spans="1:31" ht="30" customHeight="1" x14ac:dyDescent="0.25">
      <c r="A2" s="34" t="s">
        <v>4</v>
      </c>
      <c r="B2" s="33"/>
      <c r="C2" s="33"/>
      <c r="D2" s="33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38"/>
      <c r="R2" s="38"/>
      <c r="S2" s="38"/>
      <c r="T2" s="38"/>
      <c r="U2" s="38"/>
      <c r="V2" s="38"/>
      <c r="W2" s="38"/>
      <c r="X2" s="38"/>
      <c r="Y2" s="39"/>
      <c r="Z2" s="39"/>
      <c r="AA2" s="39"/>
      <c r="AB2" s="39"/>
      <c r="AC2" s="39"/>
      <c r="AD2" s="39"/>
    </row>
    <row r="3" spans="1:31" ht="30" customHeight="1" x14ac:dyDescent="0.25">
      <c r="A3" s="10" t="s">
        <v>10</v>
      </c>
      <c r="B3" s="10" t="s">
        <v>11</v>
      </c>
      <c r="C3" s="10" t="s">
        <v>12</v>
      </c>
      <c r="D3" s="10" t="s">
        <v>13</v>
      </c>
      <c r="E3" s="23" t="s">
        <v>14</v>
      </c>
      <c r="F3" s="23" t="s">
        <v>15</v>
      </c>
      <c r="G3" s="23" t="s">
        <v>16</v>
      </c>
      <c r="H3" s="11" t="s">
        <v>17</v>
      </c>
      <c r="I3" s="11" t="s">
        <v>18</v>
      </c>
      <c r="J3" s="11" t="s">
        <v>19</v>
      </c>
      <c r="K3" s="11" t="s">
        <v>20</v>
      </c>
      <c r="L3" s="11" t="s">
        <v>21</v>
      </c>
      <c r="M3" s="11" t="s">
        <v>22</v>
      </c>
      <c r="N3" s="11" t="s">
        <v>23</v>
      </c>
      <c r="O3" s="11" t="s">
        <v>24</v>
      </c>
      <c r="P3" s="13" t="s">
        <v>25</v>
      </c>
      <c r="Q3" s="14"/>
      <c r="R3" s="14"/>
      <c r="S3" s="14"/>
      <c r="T3" s="14"/>
      <c r="U3" s="14"/>
      <c r="V3" s="14"/>
      <c r="W3" s="14"/>
      <c r="X3" s="14"/>
      <c r="Y3" s="40" t="s">
        <v>10</v>
      </c>
      <c r="Z3" s="40" t="s">
        <v>11</v>
      </c>
      <c r="AA3" s="41" t="s">
        <v>14</v>
      </c>
      <c r="AB3" s="40" t="s">
        <v>17</v>
      </c>
      <c r="AC3" s="40" t="s">
        <v>19</v>
      </c>
      <c r="AD3" s="40" t="s">
        <v>25</v>
      </c>
    </row>
    <row r="4" spans="1:31" ht="14.25" customHeight="1" x14ac:dyDescent="0.25">
      <c r="A4" s="15" t="s">
        <v>26</v>
      </c>
      <c r="B4" s="15" t="s">
        <v>26</v>
      </c>
      <c r="C4" s="15" t="s">
        <v>26</v>
      </c>
      <c r="D4" s="15" t="s">
        <v>26</v>
      </c>
      <c r="E4" s="15" t="s">
        <v>26</v>
      </c>
      <c r="F4" s="15" t="s">
        <v>26</v>
      </c>
      <c r="G4" s="15"/>
      <c r="H4" s="15" t="s">
        <v>26</v>
      </c>
      <c r="I4" s="15"/>
      <c r="J4" s="15" t="s">
        <v>26</v>
      </c>
      <c r="K4" s="15" t="s">
        <v>26</v>
      </c>
      <c r="L4" s="15" t="s">
        <v>26</v>
      </c>
      <c r="M4" s="15" t="s">
        <v>26</v>
      </c>
      <c r="N4" s="15"/>
      <c r="O4" s="15"/>
      <c r="P4" s="15" t="s">
        <v>26</v>
      </c>
      <c r="Q4" s="15"/>
      <c r="R4" s="15"/>
      <c r="S4" s="15"/>
      <c r="T4" s="15"/>
      <c r="U4" s="15"/>
      <c r="V4" s="15"/>
      <c r="W4" s="15"/>
      <c r="X4" s="15"/>
      <c r="Y4" s="36"/>
      <c r="Z4" s="35"/>
      <c r="AA4" s="35"/>
      <c r="AB4" s="35"/>
      <c r="AC4" s="35"/>
      <c r="AD4" s="35"/>
    </row>
    <row r="5" spans="1:31" ht="84.95" customHeight="1" x14ac:dyDescent="0.25">
      <c r="A5" s="20" t="s">
        <v>27</v>
      </c>
      <c r="B5" s="20" t="s">
        <v>28</v>
      </c>
      <c r="C5" s="16" t="s">
        <v>29</v>
      </c>
      <c r="D5" s="16" t="s">
        <v>30</v>
      </c>
      <c r="E5" s="20" t="s">
        <v>31</v>
      </c>
      <c r="F5" s="16"/>
      <c r="G5" s="16"/>
      <c r="H5" s="20" t="s">
        <v>32</v>
      </c>
      <c r="I5" s="16"/>
      <c r="J5" s="20"/>
      <c r="K5" s="20"/>
      <c r="L5" s="20"/>
      <c r="M5" s="16"/>
      <c r="N5" s="16"/>
      <c r="O5" s="16"/>
      <c r="P5" s="20" t="s">
        <v>33</v>
      </c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</row>
    <row r="6" spans="1:31" ht="20.100000000000001" customHeight="1" x14ac:dyDescent="0.25">
      <c r="A6" s="24" t="s">
        <v>40</v>
      </c>
      <c r="B6" s="24" t="s">
        <v>41</v>
      </c>
      <c r="C6" t="s">
        <v>34</v>
      </c>
      <c r="D6" t="s">
        <v>574</v>
      </c>
      <c r="E6" s="17" t="s">
        <v>60</v>
      </c>
      <c r="F6" s="17" t="s">
        <v>35</v>
      </c>
      <c r="G6" s="17"/>
      <c r="H6" s="17" t="s">
        <v>61</v>
      </c>
      <c r="I6">
        <v>1</v>
      </c>
      <c r="J6" s="42" t="s">
        <v>56</v>
      </c>
      <c r="K6" s="17">
        <v>5203</v>
      </c>
      <c r="L6" s="17">
        <v>0</v>
      </c>
      <c r="M6" s="18">
        <v>100</v>
      </c>
      <c r="N6" s="17">
        <v>0</v>
      </c>
      <c r="O6" s="17">
        <v>0</v>
      </c>
      <c r="P6" s="17" t="s">
        <v>45</v>
      </c>
      <c r="Y6" s="25">
        <f>INT(INDEX('Dados Consolidados'!$R$2:$R$38, MATCH(A6, 'Dados Consolidados'!$A$2:$A$38, 0)))</f>
        <v>1</v>
      </c>
      <c r="Z6" s="25">
        <f>INT(INDEX('Dados Consolidados'!$S$2:$S$38, MATCH(B6, 'Dados Consolidados'!$B$2:$B$38, 0)))</f>
        <v>1</v>
      </c>
      <c r="AA6" s="25">
        <f>INT(INDEX('Dados Consolidados'!$T$2:$T$38, MATCH(E6, 'Dados Consolidados'!$E$2:$E$38, 0)))</f>
        <v>4</v>
      </c>
      <c r="AB6" s="25">
        <f>INT(INDEX('Dados Consolidados'!$U$2:$U$38, MATCH(H6, 'Dados Consolidados'!$H$2:$H$38, 0)))</f>
        <v>6</v>
      </c>
      <c r="AC6" s="25">
        <f>INT(INDEX('Dados Consolidados'!$V$2:$V$38, MATCH(J6, 'Dados Consolidados'!$J$2:$J$38, 0)))</f>
        <v>3</v>
      </c>
      <c r="AD6" s="25">
        <f>INT(INDEX('Dados Consolidados'!$W$2:$W$38, MATCH(P6, 'Dados Consolidados'!$P$2:$P$38, 0)))</f>
        <v>5</v>
      </c>
      <c r="AE6" s="25"/>
    </row>
    <row r="7" spans="1:31" ht="20.100000000000001" customHeight="1" x14ac:dyDescent="0.25">
      <c r="A7" s="24" t="s">
        <v>40</v>
      </c>
      <c r="B7" s="24" t="s">
        <v>41</v>
      </c>
      <c r="C7" t="s">
        <v>34</v>
      </c>
      <c r="D7" t="s">
        <v>574</v>
      </c>
      <c r="E7" s="17" t="s">
        <v>60</v>
      </c>
      <c r="F7" s="17" t="s">
        <v>36</v>
      </c>
      <c r="G7" s="17"/>
      <c r="H7" s="17" t="s">
        <v>61</v>
      </c>
      <c r="I7">
        <v>1</v>
      </c>
      <c r="J7" s="42" t="s">
        <v>56</v>
      </c>
      <c r="K7" s="17">
        <v>5203</v>
      </c>
      <c r="L7" s="17">
        <v>0</v>
      </c>
      <c r="M7" s="18">
        <v>100</v>
      </c>
      <c r="N7" s="17">
        <v>0</v>
      </c>
      <c r="O7" s="17">
        <v>0</v>
      </c>
      <c r="P7" s="17" t="s">
        <v>45</v>
      </c>
      <c r="Y7" s="25">
        <f>INT(INDEX('Dados Consolidados'!$R$2:$R$38, MATCH(A7, 'Dados Consolidados'!$A$2:$A$38, 0)))</f>
        <v>1</v>
      </c>
      <c r="Z7" s="25">
        <f>INT(INDEX('Dados Consolidados'!$S$2:$S$38, MATCH(B7, 'Dados Consolidados'!$B$2:$B$38, 0)))</f>
        <v>1</v>
      </c>
      <c r="AA7" s="25">
        <f>INT(INDEX('Dados Consolidados'!$T$2:$T$38, MATCH(E7, 'Dados Consolidados'!$E$2:$E$38, 0)))</f>
        <v>4</v>
      </c>
      <c r="AB7" s="25">
        <f>INT(INDEX('Dados Consolidados'!$U$2:$U$38, MATCH(H7, 'Dados Consolidados'!$H$2:$H$38, 0)))</f>
        <v>6</v>
      </c>
      <c r="AC7" s="25">
        <f>INT(INDEX('Dados Consolidados'!$V$2:$V$38, MATCH(J7, 'Dados Consolidados'!$J$2:$J$38, 0)))</f>
        <v>3</v>
      </c>
      <c r="AD7" s="25">
        <f>INT(INDEX('Dados Consolidados'!$W$2:$W$38, MATCH(P7, 'Dados Consolidados'!$P$2:$P$38, 0)))</f>
        <v>5</v>
      </c>
    </row>
    <row r="8" spans="1:31" ht="20.100000000000001" customHeight="1" x14ac:dyDescent="0.25">
      <c r="A8" s="24" t="s">
        <v>40</v>
      </c>
      <c r="B8" s="24" t="s">
        <v>41</v>
      </c>
      <c r="C8" t="s">
        <v>34</v>
      </c>
      <c r="D8" t="s">
        <v>574</v>
      </c>
      <c r="E8" s="17" t="s">
        <v>60</v>
      </c>
      <c r="F8" s="17" t="s">
        <v>575</v>
      </c>
      <c r="G8" s="17"/>
      <c r="H8" s="17" t="s">
        <v>61</v>
      </c>
      <c r="I8">
        <v>1</v>
      </c>
      <c r="J8" s="42" t="s">
        <v>56</v>
      </c>
      <c r="K8" s="17">
        <v>5203</v>
      </c>
      <c r="L8" s="17">
        <v>0</v>
      </c>
      <c r="M8" s="18">
        <v>100</v>
      </c>
      <c r="N8" s="17">
        <v>0</v>
      </c>
      <c r="O8" s="17">
        <v>0</v>
      </c>
      <c r="P8" s="17" t="s">
        <v>45</v>
      </c>
      <c r="Y8" s="25">
        <f>INT(INDEX('Dados Consolidados'!$R$2:$R$38, MATCH(A8, 'Dados Consolidados'!$A$2:$A$38, 0)))</f>
        <v>1</v>
      </c>
      <c r="Z8" s="25">
        <f>INT(INDEX('Dados Consolidados'!$S$2:$S$38, MATCH(B8, 'Dados Consolidados'!$B$2:$B$38, 0)))</f>
        <v>1</v>
      </c>
      <c r="AA8" s="25">
        <f>INT(INDEX('Dados Consolidados'!$T$2:$T$38, MATCH(E8, 'Dados Consolidados'!$E$2:$E$38, 0)))</f>
        <v>4</v>
      </c>
      <c r="AB8" s="25">
        <f>INT(INDEX('Dados Consolidados'!$U$2:$U$38, MATCH(H8, 'Dados Consolidados'!$H$2:$H$38, 0)))</f>
        <v>6</v>
      </c>
      <c r="AC8" s="25">
        <f>INT(INDEX('Dados Consolidados'!$V$2:$V$38, MATCH(J8, 'Dados Consolidados'!$J$2:$J$38, 0)))</f>
        <v>3</v>
      </c>
      <c r="AD8" s="25">
        <f>INT(INDEX('Dados Consolidados'!$W$2:$W$38, MATCH(P8, 'Dados Consolidados'!$P$2:$P$38, 0)))</f>
        <v>5</v>
      </c>
    </row>
    <row r="9" spans="1:31" ht="20.100000000000001" customHeight="1" x14ac:dyDescent="0.25">
      <c r="A9" s="24" t="s">
        <v>40</v>
      </c>
      <c r="B9" s="24" t="s">
        <v>41</v>
      </c>
      <c r="C9" t="s">
        <v>34</v>
      </c>
      <c r="D9" t="s">
        <v>574</v>
      </c>
      <c r="E9" s="17" t="s">
        <v>60</v>
      </c>
      <c r="F9" s="17" t="s">
        <v>576</v>
      </c>
      <c r="G9" s="17"/>
      <c r="H9" s="17" t="s">
        <v>61</v>
      </c>
      <c r="I9">
        <v>1</v>
      </c>
      <c r="J9" s="42" t="s">
        <v>56</v>
      </c>
      <c r="K9" s="17">
        <v>5203</v>
      </c>
      <c r="L9" s="17">
        <v>0</v>
      </c>
      <c r="M9" s="18">
        <v>100</v>
      </c>
      <c r="N9" s="17">
        <v>0</v>
      </c>
      <c r="O9" s="17">
        <v>0</v>
      </c>
      <c r="P9" s="17" t="s">
        <v>45</v>
      </c>
      <c r="Y9" s="25">
        <f>INT(INDEX('Dados Consolidados'!$R$2:$R$38, MATCH(A9, 'Dados Consolidados'!$A$2:$A$38, 0)))</f>
        <v>1</v>
      </c>
      <c r="Z9" s="25">
        <f>INT(INDEX('Dados Consolidados'!$S$2:$S$38, MATCH(B9, 'Dados Consolidados'!$B$2:$B$38, 0)))</f>
        <v>1</v>
      </c>
      <c r="AA9" s="25">
        <f>INT(INDEX('Dados Consolidados'!$T$2:$T$38, MATCH(E9, 'Dados Consolidados'!$E$2:$E$38, 0)))</f>
        <v>4</v>
      </c>
      <c r="AB9" s="25">
        <f>INT(INDEX('Dados Consolidados'!$U$2:$U$38, MATCH(H9, 'Dados Consolidados'!$H$2:$H$38, 0)))</f>
        <v>6</v>
      </c>
      <c r="AC9" s="25">
        <f>INT(INDEX('Dados Consolidados'!$V$2:$V$38, MATCH(J9, 'Dados Consolidados'!$J$2:$J$38, 0)))</f>
        <v>3</v>
      </c>
      <c r="AD9" s="25">
        <f>INT(INDEX('Dados Consolidados'!$W$2:$W$38, MATCH(P9, 'Dados Consolidados'!$P$2:$P$38, 0)))</f>
        <v>5</v>
      </c>
    </row>
    <row r="10" spans="1:31" ht="20.100000000000001" customHeight="1" x14ac:dyDescent="0.25">
      <c r="A10" s="24" t="s">
        <v>40</v>
      </c>
      <c r="B10" s="24" t="s">
        <v>41</v>
      </c>
      <c r="C10" t="s">
        <v>34</v>
      </c>
      <c r="D10" t="s">
        <v>574</v>
      </c>
      <c r="E10" s="17" t="s">
        <v>60</v>
      </c>
      <c r="F10" s="17" t="s">
        <v>577</v>
      </c>
      <c r="G10" s="17"/>
      <c r="H10" s="17" t="s">
        <v>61</v>
      </c>
      <c r="I10">
        <v>1</v>
      </c>
      <c r="J10" s="42" t="s">
        <v>56</v>
      </c>
      <c r="K10" s="17">
        <v>5203</v>
      </c>
      <c r="L10" s="17">
        <v>0</v>
      </c>
      <c r="M10" s="18">
        <v>100</v>
      </c>
      <c r="N10" s="17">
        <v>0</v>
      </c>
      <c r="O10" s="17">
        <v>0</v>
      </c>
      <c r="P10" s="17" t="s">
        <v>45</v>
      </c>
      <c r="Y10" s="25">
        <f>INT(INDEX('Dados Consolidados'!$R$2:$R$38, MATCH(A10, 'Dados Consolidados'!$A$2:$A$38, 0)))</f>
        <v>1</v>
      </c>
      <c r="Z10" s="25">
        <f>INT(INDEX('Dados Consolidados'!$S$2:$S$38, MATCH(B10, 'Dados Consolidados'!$B$2:$B$38, 0)))</f>
        <v>1</v>
      </c>
      <c r="AA10" s="25">
        <f>INT(INDEX('Dados Consolidados'!$T$2:$T$38, MATCH(E10, 'Dados Consolidados'!$E$2:$E$38, 0)))</f>
        <v>4</v>
      </c>
      <c r="AB10" s="25">
        <f>INT(INDEX('Dados Consolidados'!$U$2:$U$38, MATCH(H10, 'Dados Consolidados'!$H$2:$H$38, 0)))</f>
        <v>6</v>
      </c>
      <c r="AC10" s="25">
        <f>INT(INDEX('Dados Consolidados'!$V$2:$V$38, MATCH(J10, 'Dados Consolidados'!$J$2:$J$38, 0)))</f>
        <v>3</v>
      </c>
      <c r="AD10" s="25">
        <f>INT(INDEX('Dados Consolidados'!$W$2:$W$38, MATCH(P10, 'Dados Consolidados'!$P$2:$P$38, 0)))</f>
        <v>5</v>
      </c>
    </row>
    <row r="11" spans="1:31" ht="20.100000000000001" customHeight="1" x14ac:dyDescent="0.25">
      <c r="A11" s="24" t="s">
        <v>40</v>
      </c>
      <c r="B11" s="24" t="s">
        <v>41</v>
      </c>
      <c r="C11" t="s">
        <v>34</v>
      </c>
      <c r="D11" t="s">
        <v>574</v>
      </c>
      <c r="E11" s="17" t="s">
        <v>60</v>
      </c>
      <c r="F11" s="17" t="s">
        <v>578</v>
      </c>
      <c r="G11" s="17"/>
      <c r="H11" s="17" t="s">
        <v>61</v>
      </c>
      <c r="I11">
        <v>1</v>
      </c>
      <c r="J11" s="42" t="s">
        <v>56</v>
      </c>
      <c r="K11" s="17">
        <v>5203</v>
      </c>
      <c r="L11" s="17">
        <v>0</v>
      </c>
      <c r="M11" s="18">
        <v>100</v>
      </c>
      <c r="N11" s="17">
        <v>0</v>
      </c>
      <c r="O11" s="17">
        <v>0</v>
      </c>
      <c r="P11" s="17" t="s">
        <v>45</v>
      </c>
      <c r="Y11" s="25">
        <f>INT(INDEX('Dados Consolidados'!$R$2:$R$38, MATCH(A11, 'Dados Consolidados'!$A$2:$A$38, 0)))</f>
        <v>1</v>
      </c>
      <c r="Z11" s="25">
        <f>INT(INDEX('Dados Consolidados'!$S$2:$S$38, MATCH(B11, 'Dados Consolidados'!$B$2:$B$38, 0)))</f>
        <v>1</v>
      </c>
      <c r="AA11" s="25">
        <f>INT(INDEX('Dados Consolidados'!$T$2:$T$38, MATCH(E11, 'Dados Consolidados'!$E$2:$E$38, 0)))</f>
        <v>4</v>
      </c>
      <c r="AB11" s="25">
        <f>INT(INDEX('Dados Consolidados'!$U$2:$U$38, MATCH(H11, 'Dados Consolidados'!$H$2:$H$38, 0)))</f>
        <v>6</v>
      </c>
      <c r="AC11" s="25">
        <f>INT(INDEX('Dados Consolidados'!$V$2:$V$38, MATCH(J11, 'Dados Consolidados'!$J$2:$J$38, 0)))</f>
        <v>3</v>
      </c>
      <c r="AD11" s="25">
        <f>INT(INDEX('Dados Consolidados'!$W$2:$W$38, MATCH(P11, 'Dados Consolidados'!$P$2:$P$38, 0)))</f>
        <v>5</v>
      </c>
    </row>
    <row r="12" spans="1:31" ht="20.100000000000001" customHeight="1" x14ac:dyDescent="0.25">
      <c r="A12" s="24" t="s">
        <v>40</v>
      </c>
      <c r="B12" s="24" t="s">
        <v>41</v>
      </c>
      <c r="C12" t="s">
        <v>34</v>
      </c>
      <c r="D12" t="s">
        <v>574</v>
      </c>
      <c r="E12" s="17" t="s">
        <v>60</v>
      </c>
      <c r="F12" s="17" t="s">
        <v>579</v>
      </c>
      <c r="G12" s="17"/>
      <c r="H12" s="17" t="s">
        <v>61</v>
      </c>
      <c r="I12">
        <v>1</v>
      </c>
      <c r="J12" s="42" t="s">
        <v>56</v>
      </c>
      <c r="K12" s="17">
        <v>5203</v>
      </c>
      <c r="L12" s="17">
        <v>0</v>
      </c>
      <c r="M12" s="18">
        <v>100</v>
      </c>
      <c r="N12" s="17">
        <v>0</v>
      </c>
      <c r="O12" s="17">
        <v>0</v>
      </c>
      <c r="P12" s="17" t="s">
        <v>45</v>
      </c>
      <c r="Y12" s="25">
        <f>INT(INDEX('Dados Consolidados'!$R$2:$R$38, MATCH(A12, 'Dados Consolidados'!$A$2:$A$38, 0)))</f>
        <v>1</v>
      </c>
      <c r="Z12" s="25">
        <f>INT(INDEX('Dados Consolidados'!$S$2:$S$38, MATCH(B12, 'Dados Consolidados'!$B$2:$B$38, 0)))</f>
        <v>1</v>
      </c>
      <c r="AA12" s="25">
        <f>INT(INDEX('Dados Consolidados'!$T$2:$T$38, MATCH(E12, 'Dados Consolidados'!$E$2:$E$38, 0)))</f>
        <v>4</v>
      </c>
      <c r="AB12" s="25">
        <f>INT(INDEX('Dados Consolidados'!$U$2:$U$38, MATCH(H12, 'Dados Consolidados'!$H$2:$H$38, 0)))</f>
        <v>6</v>
      </c>
      <c r="AC12" s="25">
        <f>INT(INDEX('Dados Consolidados'!$V$2:$V$38, MATCH(J12, 'Dados Consolidados'!$J$2:$J$38, 0)))</f>
        <v>3</v>
      </c>
      <c r="AD12" s="25">
        <f>INT(INDEX('Dados Consolidados'!$W$2:$W$38, MATCH(P12, 'Dados Consolidados'!$P$2:$P$38, 0)))</f>
        <v>5</v>
      </c>
    </row>
    <row r="13" spans="1:31" ht="20.100000000000001" customHeight="1" x14ac:dyDescent="0.25">
      <c r="A13" s="24" t="s">
        <v>40</v>
      </c>
      <c r="B13" s="24" t="s">
        <v>41</v>
      </c>
      <c r="C13" t="s">
        <v>34</v>
      </c>
      <c r="D13" t="s">
        <v>574</v>
      </c>
      <c r="E13" s="17" t="s">
        <v>60</v>
      </c>
      <c r="F13" s="17" t="s">
        <v>580</v>
      </c>
      <c r="G13" s="17"/>
      <c r="H13" s="17" t="s">
        <v>61</v>
      </c>
      <c r="I13">
        <v>1</v>
      </c>
      <c r="J13" s="42" t="s">
        <v>56</v>
      </c>
      <c r="K13" s="17">
        <v>5203</v>
      </c>
      <c r="L13" s="17">
        <v>0</v>
      </c>
      <c r="M13" s="18">
        <v>100</v>
      </c>
      <c r="N13" s="17">
        <v>0</v>
      </c>
      <c r="O13" s="17">
        <v>0</v>
      </c>
      <c r="P13" s="17" t="s">
        <v>45</v>
      </c>
      <c r="Y13" s="25">
        <f>INT(INDEX('Dados Consolidados'!$R$2:$R$38, MATCH(A13, 'Dados Consolidados'!$A$2:$A$38, 0)))</f>
        <v>1</v>
      </c>
      <c r="Z13" s="25">
        <f>INT(INDEX('Dados Consolidados'!$S$2:$S$38, MATCH(B13, 'Dados Consolidados'!$B$2:$B$38, 0)))</f>
        <v>1</v>
      </c>
      <c r="AA13" s="25">
        <f>INT(INDEX('Dados Consolidados'!$T$2:$T$38, MATCH(E13, 'Dados Consolidados'!$E$2:$E$38, 0)))</f>
        <v>4</v>
      </c>
      <c r="AB13" s="25">
        <f>INT(INDEX('Dados Consolidados'!$U$2:$U$38, MATCH(H13, 'Dados Consolidados'!$H$2:$H$38, 0)))</f>
        <v>6</v>
      </c>
      <c r="AC13" s="25">
        <f>INT(INDEX('Dados Consolidados'!$V$2:$V$38, MATCH(J13, 'Dados Consolidados'!$J$2:$J$38, 0)))</f>
        <v>3</v>
      </c>
      <c r="AD13" s="25">
        <f>INT(INDEX('Dados Consolidados'!$W$2:$W$38, MATCH(P13, 'Dados Consolidados'!$P$2:$P$38, 0)))</f>
        <v>5</v>
      </c>
    </row>
    <row r="14" spans="1:31" ht="20.100000000000001" customHeight="1" x14ac:dyDescent="0.25">
      <c r="A14" s="24" t="s">
        <v>40</v>
      </c>
      <c r="B14" s="24" t="s">
        <v>41</v>
      </c>
      <c r="C14" t="s">
        <v>34</v>
      </c>
      <c r="D14" t="s">
        <v>574</v>
      </c>
      <c r="E14" s="17" t="s">
        <v>60</v>
      </c>
      <c r="F14" s="17" t="s">
        <v>581</v>
      </c>
      <c r="G14" s="17"/>
      <c r="H14" s="17" t="s">
        <v>61</v>
      </c>
      <c r="I14">
        <v>1</v>
      </c>
      <c r="J14" s="42" t="s">
        <v>56</v>
      </c>
      <c r="K14" s="17">
        <v>5203</v>
      </c>
      <c r="L14" s="17">
        <v>0</v>
      </c>
      <c r="M14" s="18">
        <v>100</v>
      </c>
      <c r="N14" s="17">
        <v>0</v>
      </c>
      <c r="O14" s="17">
        <v>0</v>
      </c>
      <c r="P14" s="17" t="s">
        <v>45</v>
      </c>
      <c r="Y14" s="25">
        <f>INT(INDEX('Dados Consolidados'!$R$2:$R$38, MATCH(A14, 'Dados Consolidados'!$A$2:$A$38, 0)))</f>
        <v>1</v>
      </c>
      <c r="Z14" s="25">
        <f>INT(INDEX('Dados Consolidados'!$S$2:$S$38, MATCH(B14, 'Dados Consolidados'!$B$2:$B$38, 0)))</f>
        <v>1</v>
      </c>
      <c r="AA14" s="25">
        <f>INT(INDEX('Dados Consolidados'!$T$2:$T$38, MATCH(E14, 'Dados Consolidados'!$E$2:$E$38, 0)))</f>
        <v>4</v>
      </c>
      <c r="AB14" s="25">
        <f>INT(INDEX('Dados Consolidados'!$U$2:$U$38, MATCH(H14, 'Dados Consolidados'!$H$2:$H$38, 0)))</f>
        <v>6</v>
      </c>
      <c r="AC14" s="25">
        <f>INT(INDEX('Dados Consolidados'!$V$2:$V$38, MATCH(J14, 'Dados Consolidados'!$J$2:$J$38, 0)))</f>
        <v>3</v>
      </c>
      <c r="AD14" s="25">
        <f>INT(INDEX('Dados Consolidados'!$W$2:$W$38, MATCH(P14, 'Dados Consolidados'!$P$2:$P$38, 0)))</f>
        <v>5</v>
      </c>
    </row>
    <row r="15" spans="1:31" ht="20.100000000000001" customHeight="1" x14ac:dyDescent="0.25">
      <c r="A15" s="24" t="s">
        <v>40</v>
      </c>
      <c r="B15" s="24" t="s">
        <v>41</v>
      </c>
      <c r="C15" t="s">
        <v>34</v>
      </c>
      <c r="D15" t="s">
        <v>574</v>
      </c>
      <c r="E15" s="17" t="s">
        <v>60</v>
      </c>
      <c r="F15" s="17" t="s">
        <v>582</v>
      </c>
      <c r="G15" s="17"/>
      <c r="H15" s="17" t="s">
        <v>61</v>
      </c>
      <c r="I15">
        <v>1</v>
      </c>
      <c r="J15" s="42" t="s">
        <v>56</v>
      </c>
      <c r="K15" s="17">
        <v>5203</v>
      </c>
      <c r="L15" s="17">
        <v>0</v>
      </c>
      <c r="M15" s="18">
        <v>100</v>
      </c>
      <c r="N15" s="17">
        <v>0</v>
      </c>
      <c r="O15" s="17">
        <v>0</v>
      </c>
      <c r="P15" s="17" t="s">
        <v>45</v>
      </c>
      <c r="Y15" s="25">
        <f>INT(INDEX('Dados Consolidados'!$R$2:$R$38, MATCH(A15, 'Dados Consolidados'!$A$2:$A$38, 0)))</f>
        <v>1</v>
      </c>
      <c r="Z15" s="25">
        <f>INT(INDEX('Dados Consolidados'!$S$2:$S$38, MATCH(B15, 'Dados Consolidados'!$B$2:$B$38, 0)))</f>
        <v>1</v>
      </c>
      <c r="AA15" s="25">
        <f>INT(INDEX('Dados Consolidados'!$T$2:$T$38, MATCH(E15, 'Dados Consolidados'!$E$2:$E$38, 0)))</f>
        <v>4</v>
      </c>
      <c r="AB15" s="25">
        <f>INT(INDEX('Dados Consolidados'!$U$2:$U$38, MATCH(H15, 'Dados Consolidados'!$H$2:$H$38, 0)))</f>
        <v>6</v>
      </c>
      <c r="AC15" s="25">
        <f>INT(INDEX('Dados Consolidados'!$V$2:$V$38, MATCH(J15, 'Dados Consolidados'!$J$2:$J$38, 0)))</f>
        <v>3</v>
      </c>
      <c r="AD15" s="25">
        <f>INT(INDEX('Dados Consolidados'!$W$2:$W$38, MATCH(P15, 'Dados Consolidados'!$P$2:$P$38, 0)))</f>
        <v>5</v>
      </c>
    </row>
    <row r="16" spans="1:31" ht="20.100000000000001" customHeight="1" x14ac:dyDescent="0.25">
      <c r="A16" s="24" t="s">
        <v>40</v>
      </c>
      <c r="B16" s="24" t="s">
        <v>41</v>
      </c>
      <c r="C16" t="s">
        <v>34</v>
      </c>
      <c r="D16" t="s">
        <v>574</v>
      </c>
      <c r="E16" s="17" t="s">
        <v>60</v>
      </c>
      <c r="F16" s="17" t="s">
        <v>583</v>
      </c>
      <c r="G16" s="17"/>
      <c r="H16" s="17" t="s">
        <v>61</v>
      </c>
      <c r="I16">
        <v>1</v>
      </c>
      <c r="J16" s="42" t="s">
        <v>56</v>
      </c>
      <c r="K16" s="17">
        <v>5203</v>
      </c>
      <c r="L16" s="17">
        <v>0</v>
      </c>
      <c r="M16" s="18">
        <v>100</v>
      </c>
      <c r="N16" s="17">
        <v>0</v>
      </c>
      <c r="O16" s="17">
        <v>0</v>
      </c>
      <c r="P16" s="17" t="s">
        <v>45</v>
      </c>
      <c r="Y16" s="25">
        <f>INT(INDEX('Dados Consolidados'!$R$2:$R$38, MATCH(A16, 'Dados Consolidados'!$A$2:$A$38, 0)))</f>
        <v>1</v>
      </c>
      <c r="Z16" s="25">
        <f>INT(INDEX('Dados Consolidados'!$S$2:$S$38, MATCH(B16, 'Dados Consolidados'!$B$2:$B$38, 0)))</f>
        <v>1</v>
      </c>
      <c r="AA16" s="25">
        <f>INT(INDEX('Dados Consolidados'!$T$2:$T$38, MATCH(E16, 'Dados Consolidados'!$E$2:$E$38, 0)))</f>
        <v>4</v>
      </c>
      <c r="AB16" s="25">
        <f>INT(INDEX('Dados Consolidados'!$U$2:$U$38, MATCH(H16, 'Dados Consolidados'!$H$2:$H$38, 0)))</f>
        <v>6</v>
      </c>
      <c r="AC16" s="25">
        <f>INT(INDEX('Dados Consolidados'!$V$2:$V$38, MATCH(J16, 'Dados Consolidados'!$J$2:$J$38, 0)))</f>
        <v>3</v>
      </c>
      <c r="AD16" s="25">
        <f>INT(INDEX('Dados Consolidados'!$W$2:$W$38, MATCH(P16, 'Dados Consolidados'!$P$2:$P$38, 0)))</f>
        <v>5</v>
      </c>
    </row>
    <row r="17" spans="1:30" ht="20.100000000000001" customHeight="1" x14ac:dyDescent="0.25">
      <c r="A17" s="24"/>
      <c r="B17" s="24"/>
      <c r="E17" s="17"/>
      <c r="F17" s="17"/>
      <c r="G17" s="17"/>
      <c r="H17" s="17"/>
      <c r="J17" s="42"/>
      <c r="K17" s="17"/>
      <c r="L17" s="17"/>
      <c r="M17" s="18"/>
      <c r="N17" s="17"/>
      <c r="O17" s="17"/>
      <c r="P17" s="17"/>
      <c r="Y17" s="25" t="e">
        <f>INT(INDEX('Dados Consolidados'!$R$2:$R$38, MATCH(A17, 'Dados Consolidados'!$A$2:$A$38, 0)))</f>
        <v>#N/A</v>
      </c>
      <c r="Z17" s="25" t="e">
        <f>INT(INDEX('Dados Consolidados'!$S$2:$S$38, MATCH(B17, 'Dados Consolidados'!$B$2:$B$38, 0)))</f>
        <v>#N/A</v>
      </c>
      <c r="AA17" s="25" t="e">
        <f>INT(INDEX('Dados Consolidados'!$T$2:$T$38, MATCH(E17, 'Dados Consolidados'!$E$2:$E$38, 0)))</f>
        <v>#N/A</v>
      </c>
      <c r="AB17" s="25" t="e">
        <f>INT(INDEX('Dados Consolidados'!$U$2:$U$38, MATCH(H17, 'Dados Consolidados'!$H$2:$H$38, 0)))</f>
        <v>#N/A</v>
      </c>
      <c r="AC17" s="25" t="e">
        <f>INT(INDEX('Dados Consolidados'!$V$2:$V$38, MATCH(J17, 'Dados Consolidados'!$J$2:$J$38, 0)))</f>
        <v>#N/A</v>
      </c>
      <c r="AD17" s="25" t="e">
        <f>INT(INDEX('Dados Consolidados'!$W$2:$W$38, MATCH(P17, 'Dados Consolidados'!$P$2:$P$38, 0)))</f>
        <v>#N/A</v>
      </c>
    </row>
    <row r="18" spans="1:30" ht="20.100000000000001" customHeight="1" x14ac:dyDescent="0.25">
      <c r="A18" s="24"/>
      <c r="B18" s="24"/>
      <c r="E18" s="17"/>
      <c r="F18" s="17"/>
      <c r="G18" s="17"/>
      <c r="H18" s="17"/>
      <c r="I18" s="42"/>
      <c r="J18" s="42"/>
      <c r="K18" s="17"/>
      <c r="L18" s="17"/>
      <c r="M18" s="18"/>
      <c r="N18" s="17"/>
      <c r="O18" s="17"/>
      <c r="P18" s="17"/>
      <c r="Y18" s="25" t="e">
        <f>INT(INDEX('Dados Consolidados'!$R$2:$R$38, MATCH(A18, 'Dados Consolidados'!$A$2:$A$38, 0)))</f>
        <v>#N/A</v>
      </c>
      <c r="Z18" s="25" t="e">
        <f>INT(INDEX('Dados Consolidados'!$S$2:$S$38, MATCH(B18, 'Dados Consolidados'!$B$2:$B$38, 0)))</f>
        <v>#N/A</v>
      </c>
      <c r="AA18" s="25" t="e">
        <f>INT(INDEX('Dados Consolidados'!$T$2:$T$38, MATCH(E18, 'Dados Consolidados'!$E$2:$E$38, 0)))</f>
        <v>#N/A</v>
      </c>
      <c r="AB18" s="25" t="e">
        <f>INT(INDEX('Dados Consolidados'!$U$2:$U$38, MATCH(H18, 'Dados Consolidados'!$H$2:$H$38, 0)))</f>
        <v>#N/A</v>
      </c>
      <c r="AC18" s="25" t="e">
        <f>INT(INDEX('Dados Consolidados'!$V$2:$V$38, MATCH(J18, 'Dados Consolidados'!$J$2:$J$38, 0)))</f>
        <v>#N/A</v>
      </c>
      <c r="AD18" s="25" t="e">
        <f>INT(INDEX('Dados Consolidados'!$W$2:$W$38, MATCH(P18, 'Dados Consolidados'!$P$2:$P$38, 0)))</f>
        <v>#N/A</v>
      </c>
    </row>
    <row r="19" spans="1:30" ht="20.100000000000001" customHeight="1" x14ac:dyDescent="0.25">
      <c r="A19" s="24"/>
      <c r="B19" s="24"/>
      <c r="E19" s="17"/>
      <c r="F19" s="17"/>
      <c r="G19" s="17"/>
      <c r="H19" s="17"/>
      <c r="J19" s="42"/>
      <c r="K19" s="17"/>
      <c r="L19" s="17"/>
      <c r="M19" s="18"/>
      <c r="N19" s="17"/>
      <c r="O19" s="17"/>
      <c r="P19" s="17"/>
      <c r="Y19" s="25" t="e">
        <f>INT(INDEX('Dados Consolidados'!$R$2:$R$38, MATCH(A19, 'Dados Consolidados'!$A$2:$A$38, 0)))</f>
        <v>#N/A</v>
      </c>
      <c r="Z19" s="25" t="e">
        <f>INT(INDEX('Dados Consolidados'!$S$2:$S$38, MATCH(B19, 'Dados Consolidados'!$B$2:$B$38, 0)))</f>
        <v>#N/A</v>
      </c>
      <c r="AA19" s="25" t="e">
        <f>INT(INDEX('Dados Consolidados'!$T$2:$T$38, MATCH(E19, 'Dados Consolidados'!$E$2:$E$38, 0)))</f>
        <v>#N/A</v>
      </c>
      <c r="AB19" s="25" t="e">
        <f>INT(INDEX('Dados Consolidados'!$U$2:$U$38, MATCH(H19, 'Dados Consolidados'!$H$2:$H$38, 0)))</f>
        <v>#N/A</v>
      </c>
      <c r="AC19" s="25" t="e">
        <f>INT(INDEX('Dados Consolidados'!$V$2:$V$38, MATCH(J19, 'Dados Consolidados'!$J$2:$J$38, 0)))</f>
        <v>#N/A</v>
      </c>
      <c r="AD19" s="25" t="e">
        <f>INT(INDEX('Dados Consolidados'!$W$2:$W$38, MATCH(P19, 'Dados Consolidados'!$P$2:$P$38, 0)))</f>
        <v>#N/A</v>
      </c>
    </row>
    <row r="20" spans="1:30" ht="20.100000000000001" customHeight="1" x14ac:dyDescent="0.25">
      <c r="A20" s="24"/>
      <c r="B20" s="24"/>
      <c r="E20" s="17"/>
      <c r="F20" s="17"/>
      <c r="G20" s="17"/>
      <c r="H20" s="17"/>
      <c r="J20" s="42"/>
      <c r="K20" s="17"/>
      <c r="L20" s="17"/>
      <c r="M20" s="18"/>
      <c r="N20" s="17"/>
      <c r="O20" s="17"/>
      <c r="P20" s="17"/>
      <c r="Y20" s="25" t="e">
        <f>INT(INDEX('Dados Consolidados'!$R$2:$R$38, MATCH(A20, 'Dados Consolidados'!$A$2:$A$38, 0)))</f>
        <v>#N/A</v>
      </c>
      <c r="Z20" s="25" t="e">
        <f>INT(INDEX('Dados Consolidados'!$S$2:$S$38, MATCH(B20, 'Dados Consolidados'!$B$2:$B$38, 0)))</f>
        <v>#N/A</v>
      </c>
      <c r="AA20" s="25" t="e">
        <f>INT(INDEX('Dados Consolidados'!$T$2:$T$38, MATCH(E20, 'Dados Consolidados'!$E$2:$E$38, 0)))</f>
        <v>#N/A</v>
      </c>
      <c r="AB20" s="25" t="e">
        <f>INT(INDEX('Dados Consolidados'!$U$2:$U$38, MATCH(H20, 'Dados Consolidados'!$H$2:$H$38, 0)))</f>
        <v>#N/A</v>
      </c>
      <c r="AC20" s="25" t="e">
        <f>INT(INDEX('Dados Consolidados'!$V$2:$V$38, MATCH(J20, 'Dados Consolidados'!$J$2:$J$38, 0)))</f>
        <v>#N/A</v>
      </c>
      <c r="AD20" s="25" t="e">
        <f>INT(INDEX('Dados Consolidados'!$W$2:$W$38, MATCH(P20, 'Dados Consolidados'!$P$2:$P$38, 0)))</f>
        <v>#N/A</v>
      </c>
    </row>
    <row r="21" spans="1:30" ht="20.100000000000001" customHeight="1" x14ac:dyDescent="0.25">
      <c r="A21" s="24"/>
      <c r="B21" s="24"/>
      <c r="E21" s="17"/>
      <c r="F21" s="17"/>
      <c r="G21" s="17"/>
      <c r="H21" s="17"/>
      <c r="I21" s="42"/>
      <c r="J21" s="42"/>
      <c r="K21" s="17"/>
      <c r="L21" s="17"/>
      <c r="M21" s="18"/>
      <c r="N21" s="17"/>
      <c r="O21" s="17"/>
      <c r="P21" s="17"/>
      <c r="Y21" s="25" t="e">
        <f>INT(INDEX('Dados Consolidados'!$R$2:$R$38, MATCH(A21, 'Dados Consolidados'!$A$2:$A$38, 0)))</f>
        <v>#N/A</v>
      </c>
      <c r="Z21" s="25" t="e">
        <f>INT(INDEX('Dados Consolidados'!$S$2:$S$38, MATCH(B21, 'Dados Consolidados'!$B$2:$B$38, 0)))</f>
        <v>#N/A</v>
      </c>
      <c r="AA21" s="25" t="e">
        <f>INT(INDEX('Dados Consolidados'!$T$2:$T$38, MATCH(E21, 'Dados Consolidados'!$E$2:$E$38, 0)))</f>
        <v>#N/A</v>
      </c>
      <c r="AB21" s="25" t="e">
        <f>INT(INDEX('Dados Consolidados'!$U$2:$U$38, MATCH(H21, 'Dados Consolidados'!$H$2:$H$38, 0)))</f>
        <v>#N/A</v>
      </c>
      <c r="AC21" s="25" t="e">
        <f>INT(INDEX('Dados Consolidados'!$V$2:$V$38, MATCH(J21, 'Dados Consolidados'!$J$2:$J$38, 0)))</f>
        <v>#N/A</v>
      </c>
      <c r="AD21" s="25" t="e">
        <f>INT(INDEX('Dados Consolidados'!$W$2:$W$38, MATCH(P21, 'Dados Consolidados'!$P$2:$P$38, 0)))</f>
        <v>#N/A</v>
      </c>
    </row>
    <row r="22" spans="1:30" ht="20.100000000000001" customHeight="1" x14ac:dyDescent="0.25">
      <c r="A22" s="24"/>
      <c r="B22" s="24"/>
      <c r="E22" s="17"/>
      <c r="F22" s="17"/>
      <c r="G22" s="17"/>
      <c r="H22" s="17"/>
      <c r="J22" s="42"/>
      <c r="K22" s="17"/>
      <c r="L22" s="17"/>
      <c r="M22" s="18"/>
      <c r="N22" s="17"/>
      <c r="O22" s="17"/>
      <c r="P22" s="17"/>
      <c r="Y22" s="25" t="e">
        <f>INT(INDEX('Dados Consolidados'!$R$2:$R$38, MATCH(A22, 'Dados Consolidados'!$A$2:$A$38, 0)))</f>
        <v>#N/A</v>
      </c>
      <c r="Z22" s="25" t="e">
        <f>INT(INDEX('Dados Consolidados'!$S$2:$S$38, MATCH(B22, 'Dados Consolidados'!$B$2:$B$38, 0)))</f>
        <v>#N/A</v>
      </c>
      <c r="AA22" s="25" t="e">
        <f>INT(INDEX('Dados Consolidados'!$T$2:$T$38, MATCH(E22, 'Dados Consolidados'!$E$2:$E$38, 0)))</f>
        <v>#N/A</v>
      </c>
      <c r="AB22" s="25" t="e">
        <f>INT(INDEX('Dados Consolidados'!$U$2:$U$38, MATCH(H22, 'Dados Consolidados'!$H$2:$H$38, 0)))</f>
        <v>#N/A</v>
      </c>
      <c r="AC22" s="25" t="e">
        <f>INT(INDEX('Dados Consolidados'!$V$2:$V$38, MATCH(J22, 'Dados Consolidados'!$J$2:$J$38, 0)))</f>
        <v>#N/A</v>
      </c>
      <c r="AD22" s="25" t="e">
        <f>INT(INDEX('Dados Consolidados'!$W$2:$W$38, MATCH(P22, 'Dados Consolidados'!$P$2:$P$38, 0)))</f>
        <v>#N/A</v>
      </c>
    </row>
    <row r="23" spans="1:30" ht="20.100000000000001" customHeight="1" x14ac:dyDescent="0.25">
      <c r="A23" s="24"/>
      <c r="B23" s="24"/>
      <c r="E23" s="17"/>
      <c r="F23" s="17"/>
      <c r="G23" s="17"/>
      <c r="H23" s="17"/>
      <c r="I23" s="42"/>
      <c r="J23" s="42"/>
      <c r="K23" s="17"/>
      <c r="L23" s="17"/>
      <c r="M23" s="18"/>
      <c r="N23" s="17"/>
      <c r="O23" s="17"/>
      <c r="P23" s="17"/>
      <c r="Y23" s="25" t="e">
        <f>INT(INDEX('Dados Consolidados'!$R$2:$R$38, MATCH(A23, 'Dados Consolidados'!$A$2:$A$38, 0)))</f>
        <v>#N/A</v>
      </c>
      <c r="Z23" s="25" t="e">
        <f>INT(INDEX('Dados Consolidados'!$S$2:$S$38, MATCH(B23, 'Dados Consolidados'!$B$2:$B$38, 0)))</f>
        <v>#N/A</v>
      </c>
      <c r="AA23" s="25" t="e">
        <f>INT(INDEX('Dados Consolidados'!$T$2:$T$38, MATCH(E23, 'Dados Consolidados'!$E$2:$E$38, 0)))</f>
        <v>#N/A</v>
      </c>
      <c r="AB23" s="25" t="e">
        <f>INT(INDEX('Dados Consolidados'!$U$2:$U$38, MATCH(H23, 'Dados Consolidados'!$H$2:$H$38, 0)))</f>
        <v>#N/A</v>
      </c>
      <c r="AC23" s="25" t="e">
        <f>INT(INDEX('Dados Consolidados'!$V$2:$V$38, MATCH(J23, 'Dados Consolidados'!$J$2:$J$38, 0)))</f>
        <v>#N/A</v>
      </c>
      <c r="AD23" s="25" t="e">
        <f>INT(INDEX('Dados Consolidados'!$W$2:$W$38, MATCH(P23, 'Dados Consolidados'!$P$2:$P$38, 0)))</f>
        <v>#N/A</v>
      </c>
    </row>
    <row r="24" spans="1:30" ht="20.100000000000001" customHeight="1" x14ac:dyDescent="0.25">
      <c r="A24" s="24"/>
      <c r="B24" s="24"/>
      <c r="E24" s="17"/>
      <c r="F24" s="17"/>
      <c r="G24" s="17"/>
      <c r="H24" s="17"/>
      <c r="J24" s="42"/>
      <c r="K24" s="17"/>
      <c r="L24" s="17"/>
      <c r="M24" s="18"/>
      <c r="N24" s="17"/>
      <c r="O24" s="17"/>
      <c r="P24" s="17"/>
      <c r="Y24" s="25" t="e">
        <f>INT(INDEX('Dados Consolidados'!$R$2:$R$38, MATCH(A24, 'Dados Consolidados'!$A$2:$A$38, 0)))</f>
        <v>#N/A</v>
      </c>
      <c r="Z24" s="25" t="e">
        <f>INT(INDEX('Dados Consolidados'!$S$2:$S$38, MATCH(B24, 'Dados Consolidados'!$B$2:$B$38, 0)))</f>
        <v>#N/A</v>
      </c>
      <c r="AA24" s="25" t="e">
        <f>INT(INDEX('Dados Consolidados'!$T$2:$T$38, MATCH(E24, 'Dados Consolidados'!$E$2:$E$38, 0)))</f>
        <v>#N/A</v>
      </c>
      <c r="AB24" s="25" t="e">
        <f>INT(INDEX('Dados Consolidados'!$U$2:$U$38, MATCH(H24, 'Dados Consolidados'!$H$2:$H$38, 0)))</f>
        <v>#N/A</v>
      </c>
      <c r="AC24" s="25" t="e">
        <f>INT(INDEX('Dados Consolidados'!$V$2:$V$38, MATCH(J24, 'Dados Consolidados'!$J$2:$J$38, 0)))</f>
        <v>#N/A</v>
      </c>
      <c r="AD24" s="25" t="e">
        <f>INT(INDEX('Dados Consolidados'!$W$2:$W$38, MATCH(P24, 'Dados Consolidados'!$P$2:$P$38, 0)))</f>
        <v>#N/A</v>
      </c>
    </row>
    <row r="25" spans="1:30" ht="20.100000000000001" customHeight="1" x14ac:dyDescent="0.25">
      <c r="A25" s="24"/>
      <c r="B25" s="24"/>
      <c r="E25" s="17"/>
      <c r="F25" s="17"/>
      <c r="G25" s="17"/>
      <c r="H25" s="17"/>
      <c r="I25" s="42"/>
      <c r="J25" s="42"/>
      <c r="K25" s="17"/>
      <c r="L25" s="17"/>
      <c r="M25" s="18"/>
      <c r="N25" s="17"/>
      <c r="O25" s="17"/>
      <c r="P25" s="17"/>
      <c r="Y25" s="25" t="e">
        <f>INT(INDEX('Dados Consolidados'!$R$2:$R$38, MATCH(A25, 'Dados Consolidados'!$A$2:$A$38, 0)))</f>
        <v>#N/A</v>
      </c>
      <c r="Z25" s="25" t="e">
        <f>INT(INDEX('Dados Consolidados'!$S$2:$S$38, MATCH(B25, 'Dados Consolidados'!$B$2:$B$38, 0)))</f>
        <v>#N/A</v>
      </c>
      <c r="AA25" s="25" t="e">
        <f>INT(INDEX('Dados Consolidados'!$T$2:$T$38, MATCH(E25, 'Dados Consolidados'!$E$2:$E$38, 0)))</f>
        <v>#N/A</v>
      </c>
      <c r="AB25" s="25" t="e">
        <f>INT(INDEX('Dados Consolidados'!$U$2:$U$38, MATCH(H25, 'Dados Consolidados'!$H$2:$H$38, 0)))</f>
        <v>#N/A</v>
      </c>
      <c r="AC25" s="25" t="e">
        <f>INT(INDEX('Dados Consolidados'!$V$2:$V$38, MATCH(J25, 'Dados Consolidados'!$J$2:$J$38, 0)))</f>
        <v>#N/A</v>
      </c>
      <c r="AD25" s="25" t="e">
        <f>INT(INDEX('Dados Consolidados'!$W$2:$W$38, MATCH(P25, 'Dados Consolidados'!$P$2:$P$38, 0)))</f>
        <v>#N/A</v>
      </c>
    </row>
    <row r="26" spans="1:30" ht="20.100000000000001" customHeight="1" x14ac:dyDescent="0.25">
      <c r="A26" s="24"/>
      <c r="B26" s="24"/>
      <c r="E26" s="17"/>
      <c r="F26" s="17"/>
      <c r="G26" s="17"/>
      <c r="H26" s="17"/>
      <c r="J26" s="42"/>
      <c r="K26" s="17"/>
      <c r="L26" s="17"/>
      <c r="M26" s="18"/>
      <c r="N26" s="17"/>
      <c r="O26" s="17"/>
      <c r="P26" s="17"/>
      <c r="Y26" s="25" t="e">
        <f>INT(INDEX('Dados Consolidados'!$R$2:$R$38, MATCH(A26, 'Dados Consolidados'!$A$2:$A$38, 0)))</f>
        <v>#N/A</v>
      </c>
      <c r="Z26" s="25" t="e">
        <f>INT(INDEX('Dados Consolidados'!$S$2:$S$38, MATCH(B26, 'Dados Consolidados'!$B$2:$B$38, 0)))</f>
        <v>#N/A</v>
      </c>
      <c r="AA26" s="25" t="e">
        <f>INT(INDEX('Dados Consolidados'!$T$2:$T$38, MATCH(E26, 'Dados Consolidados'!$E$2:$E$38, 0)))</f>
        <v>#N/A</v>
      </c>
      <c r="AB26" s="25" t="e">
        <f>INT(INDEX('Dados Consolidados'!$U$2:$U$38, MATCH(H26, 'Dados Consolidados'!$H$2:$H$38, 0)))</f>
        <v>#N/A</v>
      </c>
      <c r="AC26" s="25" t="e">
        <f>INT(INDEX('Dados Consolidados'!$V$2:$V$38, MATCH(J26, 'Dados Consolidados'!$J$2:$J$38, 0)))</f>
        <v>#N/A</v>
      </c>
      <c r="AD26" s="25" t="e">
        <f>INT(INDEX('Dados Consolidados'!$W$2:$W$38, MATCH(P26, 'Dados Consolidados'!$P$2:$P$38, 0)))</f>
        <v>#N/A</v>
      </c>
    </row>
    <row r="27" spans="1:30" ht="20.100000000000001" customHeight="1" x14ac:dyDescent="0.25">
      <c r="A27" s="24"/>
      <c r="B27" s="24"/>
      <c r="E27" s="17"/>
      <c r="F27" s="17"/>
      <c r="G27" s="17"/>
      <c r="H27" s="17"/>
      <c r="J27" s="42"/>
      <c r="K27" s="17"/>
      <c r="L27" s="17"/>
      <c r="M27" s="18"/>
      <c r="N27" s="17"/>
      <c r="O27" s="17"/>
      <c r="P27" s="17"/>
      <c r="Y27" s="25" t="e">
        <f>INT(INDEX('Dados Consolidados'!$R$2:$R$38, MATCH(A27, 'Dados Consolidados'!$A$2:$A$38, 0)))</f>
        <v>#N/A</v>
      </c>
      <c r="Z27" s="25" t="e">
        <f>INT(INDEX('Dados Consolidados'!$S$2:$S$38, MATCH(B27, 'Dados Consolidados'!$B$2:$B$38, 0)))</f>
        <v>#N/A</v>
      </c>
      <c r="AA27" s="25" t="e">
        <f>INT(INDEX('Dados Consolidados'!$T$2:$T$38, MATCH(E27, 'Dados Consolidados'!$E$2:$E$38, 0)))</f>
        <v>#N/A</v>
      </c>
      <c r="AB27" s="25" t="e">
        <f>INT(INDEX('Dados Consolidados'!$U$2:$U$38, MATCH(H27, 'Dados Consolidados'!$H$2:$H$38, 0)))</f>
        <v>#N/A</v>
      </c>
      <c r="AC27" s="25" t="e">
        <f>INT(INDEX('Dados Consolidados'!$V$2:$V$38, MATCH(J27, 'Dados Consolidados'!$J$2:$J$38, 0)))</f>
        <v>#N/A</v>
      </c>
      <c r="AD27" s="25" t="e">
        <f>INT(INDEX('Dados Consolidados'!$W$2:$W$38, MATCH(P27, 'Dados Consolidados'!$P$2:$P$38, 0)))</f>
        <v>#N/A</v>
      </c>
    </row>
    <row r="28" spans="1:30" ht="20.100000000000001" customHeight="1" x14ac:dyDescent="0.25">
      <c r="A28" s="24"/>
      <c r="B28" s="24"/>
      <c r="E28" s="17"/>
      <c r="F28" s="17"/>
      <c r="G28" s="17"/>
      <c r="H28" s="17"/>
      <c r="I28" s="42"/>
      <c r="J28" s="42"/>
      <c r="K28" s="17"/>
      <c r="L28" s="17"/>
      <c r="M28" s="18"/>
      <c r="N28" s="17"/>
      <c r="O28" s="17"/>
      <c r="P28" s="17"/>
      <c r="Y28" s="25" t="e">
        <f>INT(INDEX('Dados Consolidados'!$R$2:$R$38, MATCH(A28, 'Dados Consolidados'!$A$2:$A$38, 0)))</f>
        <v>#N/A</v>
      </c>
      <c r="Z28" s="25" t="e">
        <f>INT(INDEX('Dados Consolidados'!$S$2:$S$38, MATCH(B28, 'Dados Consolidados'!$B$2:$B$38, 0)))</f>
        <v>#N/A</v>
      </c>
      <c r="AA28" s="25" t="e">
        <f>INT(INDEX('Dados Consolidados'!$T$2:$T$38, MATCH(E28, 'Dados Consolidados'!$E$2:$E$38, 0)))</f>
        <v>#N/A</v>
      </c>
      <c r="AB28" s="25" t="e">
        <f>INT(INDEX('Dados Consolidados'!$U$2:$U$38, MATCH(H28, 'Dados Consolidados'!$H$2:$H$38, 0)))</f>
        <v>#N/A</v>
      </c>
      <c r="AC28" s="25" t="e">
        <f>INT(INDEX('Dados Consolidados'!$V$2:$V$38, MATCH(J28, 'Dados Consolidados'!$J$2:$J$38, 0)))</f>
        <v>#N/A</v>
      </c>
      <c r="AD28" s="25" t="e">
        <f>INT(INDEX('Dados Consolidados'!$W$2:$W$38, MATCH(P28, 'Dados Consolidados'!$P$2:$P$38, 0)))</f>
        <v>#N/A</v>
      </c>
    </row>
    <row r="29" spans="1:30" ht="20.100000000000001" customHeight="1" x14ac:dyDescent="0.25">
      <c r="A29" s="24"/>
      <c r="B29" s="24"/>
      <c r="E29" s="17"/>
      <c r="F29" s="17"/>
      <c r="G29" s="17"/>
      <c r="H29" s="17"/>
      <c r="J29" s="42"/>
      <c r="K29" s="17"/>
      <c r="L29" s="17"/>
      <c r="M29" s="18"/>
      <c r="N29" s="17"/>
      <c r="O29" s="17"/>
      <c r="P29" s="17"/>
      <c r="Y29" s="25" t="e">
        <f>INT(INDEX('Dados Consolidados'!$R$2:$R$38, MATCH(A29, 'Dados Consolidados'!$A$2:$A$38, 0)))</f>
        <v>#N/A</v>
      </c>
      <c r="Z29" s="25" t="e">
        <f>INT(INDEX('Dados Consolidados'!$S$2:$S$38, MATCH(B29, 'Dados Consolidados'!$B$2:$B$38, 0)))</f>
        <v>#N/A</v>
      </c>
      <c r="AA29" s="25" t="e">
        <f>INT(INDEX('Dados Consolidados'!$T$2:$T$38, MATCH(E29, 'Dados Consolidados'!$E$2:$E$38, 0)))</f>
        <v>#N/A</v>
      </c>
      <c r="AB29" s="25" t="e">
        <f>INT(INDEX('Dados Consolidados'!$U$2:$U$38, MATCH(H29, 'Dados Consolidados'!$H$2:$H$38, 0)))</f>
        <v>#N/A</v>
      </c>
      <c r="AC29" s="25" t="e">
        <f>INT(INDEX('Dados Consolidados'!$V$2:$V$38, MATCH(J29, 'Dados Consolidados'!$J$2:$J$38, 0)))</f>
        <v>#N/A</v>
      </c>
      <c r="AD29" s="25" t="e">
        <f>INT(INDEX('Dados Consolidados'!$W$2:$W$38, MATCH(P29, 'Dados Consolidados'!$P$2:$P$38, 0)))</f>
        <v>#N/A</v>
      </c>
    </row>
    <row r="30" spans="1:30" ht="20.100000000000001" customHeight="1" x14ac:dyDescent="0.25">
      <c r="A30" s="24"/>
      <c r="B30" s="24"/>
      <c r="E30" s="17"/>
      <c r="F30" s="17"/>
      <c r="G30" s="17"/>
      <c r="H30" s="17"/>
      <c r="I30" s="42"/>
      <c r="J30" s="42"/>
      <c r="K30" s="17"/>
      <c r="L30" s="17"/>
      <c r="M30" s="18"/>
      <c r="N30" s="17"/>
      <c r="O30" s="17"/>
      <c r="P30" s="17"/>
      <c r="Y30" s="25" t="e">
        <f>INT(INDEX('Dados Consolidados'!$R$2:$R$38, MATCH(A30, 'Dados Consolidados'!$A$2:$A$38, 0)))</f>
        <v>#N/A</v>
      </c>
      <c r="Z30" s="25" t="e">
        <f>INT(INDEX('Dados Consolidados'!$S$2:$S$38, MATCH(B30, 'Dados Consolidados'!$B$2:$B$38, 0)))</f>
        <v>#N/A</v>
      </c>
      <c r="AA30" s="25" t="e">
        <f>INT(INDEX('Dados Consolidados'!$T$2:$T$38, MATCH(E30, 'Dados Consolidados'!$E$2:$E$38, 0)))</f>
        <v>#N/A</v>
      </c>
      <c r="AB30" s="25" t="e">
        <f>INT(INDEX('Dados Consolidados'!$U$2:$U$38, MATCH(H30, 'Dados Consolidados'!$H$2:$H$38, 0)))</f>
        <v>#N/A</v>
      </c>
      <c r="AC30" s="25" t="e">
        <f>INT(INDEX('Dados Consolidados'!$V$2:$V$38, MATCH(J30, 'Dados Consolidados'!$J$2:$J$38, 0)))</f>
        <v>#N/A</v>
      </c>
      <c r="AD30" s="25" t="e">
        <f>INT(INDEX('Dados Consolidados'!$W$2:$W$38, MATCH(P30, 'Dados Consolidados'!$P$2:$P$38, 0)))</f>
        <v>#N/A</v>
      </c>
    </row>
    <row r="31" spans="1:30" ht="20.100000000000001" customHeight="1" x14ac:dyDescent="0.25">
      <c r="A31" s="24"/>
      <c r="B31" s="24"/>
      <c r="E31" s="17"/>
      <c r="F31" s="17"/>
      <c r="G31" s="17"/>
      <c r="H31" s="17"/>
      <c r="J31" s="42"/>
      <c r="K31" s="17"/>
      <c r="L31" s="17"/>
      <c r="M31" s="18"/>
      <c r="N31" s="17"/>
      <c r="O31" s="17"/>
      <c r="P31" s="17"/>
      <c r="Y31" s="25" t="e">
        <f>INT(INDEX('Dados Consolidados'!$R$2:$R$38, MATCH(A31, 'Dados Consolidados'!$A$2:$A$38, 0)))</f>
        <v>#N/A</v>
      </c>
      <c r="Z31" s="25" t="e">
        <f>INT(INDEX('Dados Consolidados'!$S$2:$S$38, MATCH(B31, 'Dados Consolidados'!$B$2:$B$38, 0)))</f>
        <v>#N/A</v>
      </c>
      <c r="AA31" s="25" t="e">
        <f>INT(INDEX('Dados Consolidados'!$T$2:$T$38, MATCH(E31, 'Dados Consolidados'!$E$2:$E$38, 0)))</f>
        <v>#N/A</v>
      </c>
      <c r="AB31" s="25" t="e">
        <f>INT(INDEX('Dados Consolidados'!$U$2:$U$38, MATCH(H31, 'Dados Consolidados'!$H$2:$H$38, 0)))</f>
        <v>#N/A</v>
      </c>
      <c r="AC31" s="25" t="e">
        <f>INT(INDEX('Dados Consolidados'!$V$2:$V$38, MATCH(J31, 'Dados Consolidados'!$J$2:$J$38, 0)))</f>
        <v>#N/A</v>
      </c>
      <c r="AD31" s="25" t="e">
        <f>INT(INDEX('Dados Consolidados'!$W$2:$W$38, MATCH(P31, 'Dados Consolidados'!$P$2:$P$38, 0)))</f>
        <v>#N/A</v>
      </c>
    </row>
    <row r="32" spans="1:30" ht="20.100000000000001" customHeight="1" x14ac:dyDescent="0.25">
      <c r="A32" s="24"/>
      <c r="B32" s="24"/>
      <c r="E32" s="17"/>
      <c r="F32" s="17"/>
      <c r="G32" s="17"/>
      <c r="H32" s="17"/>
      <c r="I32" s="42"/>
      <c r="J32" s="42"/>
      <c r="K32" s="17"/>
      <c r="L32" s="17"/>
      <c r="M32" s="18"/>
      <c r="N32" s="17"/>
      <c r="O32" s="17"/>
      <c r="P32" s="17"/>
      <c r="Y32" s="25" t="e">
        <f>INT(INDEX('Dados Consolidados'!$R$2:$R$38, MATCH(A32, 'Dados Consolidados'!$A$2:$A$38, 0)))</f>
        <v>#N/A</v>
      </c>
      <c r="Z32" s="25" t="e">
        <f>INT(INDEX('Dados Consolidados'!$S$2:$S$38, MATCH(B32, 'Dados Consolidados'!$B$2:$B$38, 0)))</f>
        <v>#N/A</v>
      </c>
      <c r="AA32" s="25" t="e">
        <f>INT(INDEX('Dados Consolidados'!$T$2:$T$38, MATCH(E32, 'Dados Consolidados'!$E$2:$E$38, 0)))</f>
        <v>#N/A</v>
      </c>
      <c r="AB32" s="25" t="e">
        <f>INT(INDEX('Dados Consolidados'!$U$2:$U$38, MATCH(H32, 'Dados Consolidados'!$H$2:$H$38, 0)))</f>
        <v>#N/A</v>
      </c>
      <c r="AC32" s="25" t="e">
        <f>INT(INDEX('Dados Consolidados'!$V$2:$V$38, MATCH(J32, 'Dados Consolidados'!$J$2:$J$38, 0)))</f>
        <v>#N/A</v>
      </c>
      <c r="AD32" s="25" t="e">
        <f>INT(INDEX('Dados Consolidados'!$W$2:$W$38, MATCH(P32, 'Dados Consolidados'!$P$2:$P$38, 0)))</f>
        <v>#N/A</v>
      </c>
    </row>
    <row r="33" spans="1:30" ht="20.100000000000001" customHeight="1" x14ac:dyDescent="0.25">
      <c r="A33" s="24"/>
      <c r="B33" s="24"/>
      <c r="E33" s="17"/>
      <c r="F33" s="17"/>
      <c r="G33" s="17"/>
      <c r="H33" s="17"/>
      <c r="J33" s="42"/>
      <c r="K33" s="17"/>
      <c r="L33" s="17"/>
      <c r="M33" s="18"/>
      <c r="N33" s="17"/>
      <c r="O33" s="17"/>
      <c r="P33" s="17"/>
      <c r="Y33" s="25" t="e">
        <f>INT(INDEX('Dados Consolidados'!$R$2:$R$38, MATCH(A33, 'Dados Consolidados'!$A$2:$A$38, 0)))</f>
        <v>#N/A</v>
      </c>
      <c r="Z33" s="25" t="e">
        <f>INT(INDEX('Dados Consolidados'!$S$2:$S$38, MATCH(B33, 'Dados Consolidados'!$B$2:$B$38, 0)))</f>
        <v>#N/A</v>
      </c>
      <c r="AA33" s="25" t="e">
        <f>INT(INDEX('Dados Consolidados'!$T$2:$T$38, MATCH(E33, 'Dados Consolidados'!$E$2:$E$38, 0)))</f>
        <v>#N/A</v>
      </c>
      <c r="AB33" s="25" t="e">
        <f>INT(INDEX('Dados Consolidados'!$U$2:$U$38, MATCH(H33, 'Dados Consolidados'!$H$2:$H$38, 0)))</f>
        <v>#N/A</v>
      </c>
      <c r="AC33" s="25" t="e">
        <f>INT(INDEX('Dados Consolidados'!$V$2:$V$38, MATCH(J33, 'Dados Consolidados'!$J$2:$J$38, 0)))</f>
        <v>#N/A</v>
      </c>
      <c r="AD33" s="25" t="e">
        <f>INT(INDEX('Dados Consolidados'!$W$2:$W$38, MATCH(P33, 'Dados Consolidados'!$P$2:$P$38, 0)))</f>
        <v>#N/A</v>
      </c>
    </row>
    <row r="34" spans="1:30" ht="20.100000000000001" customHeight="1" x14ac:dyDescent="0.25">
      <c r="A34" s="24"/>
      <c r="B34" s="24"/>
      <c r="E34" s="17"/>
      <c r="F34" s="17"/>
      <c r="G34" s="17"/>
      <c r="H34" s="17"/>
      <c r="J34" s="42"/>
      <c r="K34" s="17"/>
      <c r="L34" s="17"/>
      <c r="M34" s="18"/>
      <c r="N34" s="17"/>
      <c r="O34" s="17"/>
      <c r="P34" s="17"/>
      <c r="Y34" s="25" t="e">
        <f>INT(INDEX('Dados Consolidados'!$R$2:$R$38, MATCH(A34, 'Dados Consolidados'!$A$2:$A$38, 0)))</f>
        <v>#N/A</v>
      </c>
      <c r="Z34" s="25" t="e">
        <f>INT(INDEX('Dados Consolidados'!$S$2:$S$38, MATCH(B34, 'Dados Consolidados'!$B$2:$B$38, 0)))</f>
        <v>#N/A</v>
      </c>
      <c r="AA34" s="25" t="e">
        <f>INT(INDEX('Dados Consolidados'!$T$2:$T$38, MATCH(E34, 'Dados Consolidados'!$E$2:$E$38, 0)))</f>
        <v>#N/A</v>
      </c>
      <c r="AB34" s="25" t="e">
        <f>INT(INDEX('Dados Consolidados'!$U$2:$U$38, MATCH(H34, 'Dados Consolidados'!$H$2:$H$38, 0)))</f>
        <v>#N/A</v>
      </c>
      <c r="AC34" s="25" t="e">
        <f>INT(INDEX('Dados Consolidados'!$V$2:$V$38, MATCH(J34, 'Dados Consolidados'!$J$2:$J$38, 0)))</f>
        <v>#N/A</v>
      </c>
      <c r="AD34" s="25" t="e">
        <f>INT(INDEX('Dados Consolidados'!$W$2:$W$38, MATCH(P34, 'Dados Consolidados'!$P$2:$P$38, 0)))</f>
        <v>#N/A</v>
      </c>
    </row>
    <row r="35" spans="1:30" ht="20.100000000000001" customHeight="1" x14ac:dyDescent="0.25">
      <c r="A35" s="24"/>
      <c r="B35" s="24"/>
      <c r="E35" s="17"/>
      <c r="F35" s="17"/>
      <c r="G35" s="17"/>
      <c r="H35" s="17"/>
      <c r="I35" s="42"/>
      <c r="J35" s="42"/>
      <c r="K35" s="17"/>
      <c r="L35" s="17"/>
      <c r="M35" s="18"/>
      <c r="N35" s="17"/>
      <c r="O35" s="17"/>
      <c r="P35" s="17"/>
      <c r="Y35" s="25" t="e">
        <f>INT(INDEX('Dados Consolidados'!$R$2:$R$38, MATCH(A35, 'Dados Consolidados'!$A$2:$A$38, 0)))</f>
        <v>#N/A</v>
      </c>
      <c r="Z35" s="25" t="e">
        <f>INT(INDEX('Dados Consolidados'!$S$2:$S$38, MATCH(B35, 'Dados Consolidados'!$B$2:$B$38, 0)))</f>
        <v>#N/A</v>
      </c>
      <c r="AA35" s="25" t="e">
        <f>INT(INDEX('Dados Consolidados'!$T$2:$T$38, MATCH(E35, 'Dados Consolidados'!$E$2:$E$38, 0)))</f>
        <v>#N/A</v>
      </c>
      <c r="AB35" s="25" t="e">
        <f>INT(INDEX('Dados Consolidados'!$U$2:$U$38, MATCH(H35, 'Dados Consolidados'!$H$2:$H$38, 0)))</f>
        <v>#N/A</v>
      </c>
      <c r="AC35" s="25" t="e">
        <f>INT(INDEX('Dados Consolidados'!$V$2:$V$38, MATCH(J35, 'Dados Consolidados'!$J$2:$J$38, 0)))</f>
        <v>#N/A</v>
      </c>
      <c r="AD35" s="25" t="e">
        <f>INT(INDEX('Dados Consolidados'!$W$2:$W$38, MATCH(P35, 'Dados Consolidados'!$P$2:$P$38, 0)))</f>
        <v>#N/A</v>
      </c>
    </row>
    <row r="36" spans="1:30" ht="20.100000000000001" customHeight="1" x14ac:dyDescent="0.25">
      <c r="A36" s="24"/>
      <c r="B36" s="24"/>
      <c r="E36" s="17"/>
      <c r="F36" s="17"/>
      <c r="G36" s="17"/>
      <c r="H36" s="17"/>
      <c r="J36" s="42"/>
      <c r="K36" s="17"/>
      <c r="L36" s="17"/>
      <c r="M36" s="18"/>
      <c r="N36" s="17"/>
      <c r="O36" s="17"/>
      <c r="P36" s="17"/>
      <c r="Y36" s="25" t="e">
        <f>INT(INDEX('Dados Consolidados'!$R$2:$R$38, MATCH(A36, 'Dados Consolidados'!$A$2:$A$38, 0)))</f>
        <v>#N/A</v>
      </c>
      <c r="Z36" s="25" t="e">
        <f>INT(INDEX('Dados Consolidados'!$S$2:$S$38, MATCH(B36, 'Dados Consolidados'!$B$2:$B$38, 0)))</f>
        <v>#N/A</v>
      </c>
      <c r="AA36" s="25" t="e">
        <f>INT(INDEX('Dados Consolidados'!$T$2:$T$38, MATCH(E36, 'Dados Consolidados'!$E$2:$E$38, 0)))</f>
        <v>#N/A</v>
      </c>
      <c r="AB36" s="25" t="e">
        <f>INT(INDEX('Dados Consolidados'!$U$2:$U$38, MATCH(H36, 'Dados Consolidados'!$H$2:$H$38, 0)))</f>
        <v>#N/A</v>
      </c>
      <c r="AC36" s="25" t="e">
        <f>INT(INDEX('Dados Consolidados'!$V$2:$V$38, MATCH(J36, 'Dados Consolidados'!$J$2:$J$38, 0)))</f>
        <v>#N/A</v>
      </c>
      <c r="AD36" s="25" t="e">
        <f>INT(INDEX('Dados Consolidados'!$W$2:$W$38, MATCH(P36, 'Dados Consolidados'!$P$2:$P$38, 0)))</f>
        <v>#N/A</v>
      </c>
    </row>
    <row r="37" spans="1:30" ht="20.100000000000001" customHeight="1" x14ac:dyDescent="0.25">
      <c r="A37" s="24"/>
      <c r="B37" s="24"/>
      <c r="E37" s="17"/>
      <c r="F37" s="17"/>
      <c r="G37" s="17"/>
      <c r="H37" s="17"/>
      <c r="I37" s="42"/>
      <c r="J37" s="42"/>
      <c r="K37" s="17"/>
      <c r="L37" s="17"/>
      <c r="M37" s="18"/>
      <c r="N37" s="17"/>
      <c r="O37" s="17"/>
      <c r="P37" s="17"/>
      <c r="Y37" s="25" t="e">
        <f>INT(INDEX('Dados Consolidados'!$R$2:$R$38, MATCH(A37, 'Dados Consolidados'!$A$2:$A$38, 0)))</f>
        <v>#N/A</v>
      </c>
      <c r="Z37" s="25" t="e">
        <f>INT(INDEX('Dados Consolidados'!$S$2:$S$38, MATCH(B37, 'Dados Consolidados'!$B$2:$B$38, 0)))</f>
        <v>#N/A</v>
      </c>
      <c r="AA37" s="25" t="e">
        <f>INT(INDEX('Dados Consolidados'!$T$2:$T$38, MATCH(E37, 'Dados Consolidados'!$E$2:$E$38, 0)))</f>
        <v>#N/A</v>
      </c>
      <c r="AB37" s="25" t="e">
        <f>INT(INDEX('Dados Consolidados'!$U$2:$U$38, MATCH(H37, 'Dados Consolidados'!$H$2:$H$38, 0)))</f>
        <v>#N/A</v>
      </c>
      <c r="AC37" s="25" t="e">
        <f>INT(INDEX('Dados Consolidados'!$V$2:$V$38, MATCH(J37, 'Dados Consolidados'!$J$2:$J$38, 0)))</f>
        <v>#N/A</v>
      </c>
      <c r="AD37" s="25" t="e">
        <f>INT(INDEX('Dados Consolidados'!$W$2:$W$38, MATCH(P37, 'Dados Consolidados'!$P$2:$P$38, 0)))</f>
        <v>#N/A</v>
      </c>
    </row>
    <row r="38" spans="1:30" ht="20.100000000000001" customHeight="1" x14ac:dyDescent="0.25">
      <c r="A38" s="24"/>
      <c r="B38" s="24"/>
      <c r="E38" s="17"/>
      <c r="F38" s="17"/>
      <c r="G38" s="17"/>
      <c r="H38" s="17"/>
      <c r="J38" s="42"/>
      <c r="K38" s="17"/>
      <c r="L38" s="17"/>
      <c r="M38" s="18"/>
      <c r="N38" s="17"/>
      <c r="O38" s="17"/>
      <c r="P38" s="17"/>
      <c r="Y38" s="25" t="e">
        <f>INT(INDEX('Dados Consolidados'!$R$2:$R$38, MATCH(A38, 'Dados Consolidados'!$A$2:$A$38, 0)))</f>
        <v>#N/A</v>
      </c>
      <c r="Z38" s="25" t="e">
        <f>INT(INDEX('Dados Consolidados'!$S$2:$S$38, MATCH(B38, 'Dados Consolidados'!$B$2:$B$38, 0)))</f>
        <v>#N/A</v>
      </c>
      <c r="AA38" s="25" t="e">
        <f>INT(INDEX('Dados Consolidados'!$T$2:$T$38, MATCH(E38, 'Dados Consolidados'!$E$2:$E$38, 0)))</f>
        <v>#N/A</v>
      </c>
      <c r="AB38" s="25" t="e">
        <f>INT(INDEX('Dados Consolidados'!$U$2:$U$38, MATCH(H38, 'Dados Consolidados'!$H$2:$H$38, 0)))</f>
        <v>#N/A</v>
      </c>
      <c r="AC38" s="25" t="e">
        <f>INT(INDEX('Dados Consolidados'!$V$2:$V$38, MATCH(J38, 'Dados Consolidados'!$J$2:$J$38, 0)))</f>
        <v>#N/A</v>
      </c>
      <c r="AD38" s="25" t="e">
        <f>INT(INDEX('Dados Consolidados'!$W$2:$W$38, MATCH(P38, 'Dados Consolidados'!$P$2:$P$38, 0)))</f>
        <v>#N/A</v>
      </c>
    </row>
    <row r="39" spans="1:30" ht="20.100000000000001" customHeight="1" x14ac:dyDescent="0.25">
      <c r="A39" s="24"/>
      <c r="B39" s="24"/>
      <c r="E39" s="17"/>
      <c r="F39" s="17"/>
      <c r="G39" s="17"/>
      <c r="H39" s="17"/>
      <c r="I39" s="42"/>
      <c r="J39" s="42"/>
      <c r="K39" s="17"/>
      <c r="L39" s="17"/>
      <c r="M39" s="18"/>
      <c r="N39" s="17"/>
      <c r="O39" s="17"/>
      <c r="P39" s="17"/>
      <c r="Y39" s="25" t="e">
        <f>INT(INDEX('Dados Consolidados'!$R$2:$R$38, MATCH(A39, 'Dados Consolidados'!$A$2:$A$38, 0)))</f>
        <v>#N/A</v>
      </c>
      <c r="Z39" s="25" t="e">
        <f>INT(INDEX('Dados Consolidados'!$S$2:$S$38, MATCH(B39, 'Dados Consolidados'!$B$2:$B$38, 0)))</f>
        <v>#N/A</v>
      </c>
      <c r="AA39" s="25" t="e">
        <f>INT(INDEX('Dados Consolidados'!$T$2:$T$38, MATCH(E39, 'Dados Consolidados'!$E$2:$E$38, 0)))</f>
        <v>#N/A</v>
      </c>
      <c r="AB39" s="25" t="e">
        <f>INT(INDEX('Dados Consolidados'!$U$2:$U$38, MATCH(H39, 'Dados Consolidados'!$H$2:$H$38, 0)))</f>
        <v>#N/A</v>
      </c>
      <c r="AC39" s="25" t="e">
        <f>INT(INDEX('Dados Consolidados'!$V$2:$V$38, MATCH(J39, 'Dados Consolidados'!$J$2:$J$38, 0)))</f>
        <v>#N/A</v>
      </c>
      <c r="AD39" s="25" t="e">
        <f>INT(INDEX('Dados Consolidados'!$W$2:$W$38, MATCH(P39, 'Dados Consolidados'!$P$2:$P$38, 0)))</f>
        <v>#N/A</v>
      </c>
    </row>
    <row r="40" spans="1:30" ht="20.100000000000001" customHeight="1" x14ac:dyDescent="0.25">
      <c r="A40" s="24"/>
      <c r="B40" s="24"/>
      <c r="E40" s="17"/>
      <c r="F40" s="17"/>
      <c r="G40" s="17"/>
      <c r="H40" s="17"/>
      <c r="J40" s="42"/>
      <c r="K40" s="17"/>
      <c r="L40" s="17"/>
      <c r="M40" s="18"/>
      <c r="N40" s="17"/>
      <c r="O40" s="17"/>
      <c r="P40" s="17"/>
      <c r="Y40" s="25" t="e">
        <f>INT(INDEX('Dados Consolidados'!$R$2:$R$38, MATCH(A40, 'Dados Consolidados'!$A$2:$A$38, 0)))</f>
        <v>#N/A</v>
      </c>
      <c r="Z40" s="25" t="e">
        <f>INT(INDEX('Dados Consolidados'!$S$2:$S$38, MATCH(B40, 'Dados Consolidados'!$B$2:$B$38, 0)))</f>
        <v>#N/A</v>
      </c>
      <c r="AA40" s="25" t="e">
        <f>INT(INDEX('Dados Consolidados'!$T$2:$T$38, MATCH(E40, 'Dados Consolidados'!$E$2:$E$38, 0)))</f>
        <v>#N/A</v>
      </c>
      <c r="AB40" s="25" t="e">
        <f>INT(INDEX('Dados Consolidados'!$U$2:$U$38, MATCH(H40, 'Dados Consolidados'!$H$2:$H$38, 0)))</f>
        <v>#N/A</v>
      </c>
      <c r="AC40" s="25" t="e">
        <f>INT(INDEX('Dados Consolidados'!$V$2:$V$38, MATCH(J40, 'Dados Consolidados'!$J$2:$J$38, 0)))</f>
        <v>#N/A</v>
      </c>
      <c r="AD40" s="25" t="e">
        <f>INT(INDEX('Dados Consolidados'!$W$2:$W$38, MATCH(P40, 'Dados Consolidados'!$P$2:$P$38, 0)))</f>
        <v>#N/A</v>
      </c>
    </row>
    <row r="41" spans="1:30" ht="20.100000000000001" customHeight="1" x14ac:dyDescent="0.25">
      <c r="A41" s="24"/>
      <c r="B41" s="24"/>
      <c r="E41" s="17"/>
      <c r="F41" s="17"/>
      <c r="G41" s="17"/>
      <c r="H41" s="17"/>
      <c r="J41" s="42"/>
      <c r="K41" s="17"/>
      <c r="L41" s="17"/>
      <c r="M41" s="18"/>
      <c r="N41" s="17"/>
      <c r="O41" s="17"/>
      <c r="P41" s="17"/>
      <c r="Y41" s="25" t="e">
        <f>INT(INDEX('Dados Consolidados'!$R$2:$R$38, MATCH(A41, 'Dados Consolidados'!$A$2:$A$38, 0)))</f>
        <v>#N/A</v>
      </c>
      <c r="Z41" s="25" t="e">
        <f>INT(INDEX('Dados Consolidados'!$S$2:$S$38, MATCH(B41, 'Dados Consolidados'!$B$2:$B$38, 0)))</f>
        <v>#N/A</v>
      </c>
      <c r="AA41" s="25" t="e">
        <f>INT(INDEX('Dados Consolidados'!$T$2:$T$38, MATCH(E41, 'Dados Consolidados'!$E$2:$E$38, 0)))</f>
        <v>#N/A</v>
      </c>
      <c r="AB41" s="25" t="e">
        <f>INT(INDEX('Dados Consolidados'!$U$2:$U$38, MATCH(H41, 'Dados Consolidados'!$H$2:$H$38, 0)))</f>
        <v>#N/A</v>
      </c>
      <c r="AC41" s="25" t="e">
        <f>INT(INDEX('Dados Consolidados'!$V$2:$V$38, MATCH(J41, 'Dados Consolidados'!$J$2:$J$38, 0)))</f>
        <v>#N/A</v>
      </c>
      <c r="AD41" s="25" t="e">
        <f>INT(INDEX('Dados Consolidados'!$W$2:$W$38, MATCH(P41, 'Dados Consolidados'!$P$2:$P$38, 0)))</f>
        <v>#N/A</v>
      </c>
    </row>
    <row r="42" spans="1:30" ht="20.100000000000001" customHeight="1" x14ac:dyDescent="0.25">
      <c r="A42" s="24"/>
      <c r="B42" s="24"/>
      <c r="E42" s="17"/>
      <c r="F42" s="17"/>
      <c r="G42" s="17"/>
      <c r="H42" s="17"/>
      <c r="I42" s="42"/>
      <c r="J42" s="42"/>
      <c r="K42" s="17"/>
      <c r="L42" s="17"/>
      <c r="M42" s="18"/>
      <c r="N42" s="17"/>
      <c r="O42" s="17"/>
      <c r="P42" s="17"/>
      <c r="Y42" s="25" t="e">
        <f>INT(INDEX('Dados Consolidados'!$R$2:$R$38, MATCH(A42, 'Dados Consolidados'!$A$2:$A$38, 0)))</f>
        <v>#N/A</v>
      </c>
      <c r="Z42" s="25" t="e">
        <f>INT(INDEX('Dados Consolidados'!$S$2:$S$38, MATCH(B42, 'Dados Consolidados'!$B$2:$B$38, 0)))</f>
        <v>#N/A</v>
      </c>
      <c r="AA42" s="25" t="e">
        <f>INT(INDEX('Dados Consolidados'!$T$2:$T$38, MATCH(E42, 'Dados Consolidados'!$E$2:$E$38, 0)))</f>
        <v>#N/A</v>
      </c>
      <c r="AB42" s="25" t="e">
        <f>INT(INDEX('Dados Consolidados'!$U$2:$U$38, MATCH(H42, 'Dados Consolidados'!$H$2:$H$38, 0)))</f>
        <v>#N/A</v>
      </c>
      <c r="AC42" s="25" t="e">
        <f>INT(INDEX('Dados Consolidados'!$V$2:$V$38, MATCH(J42, 'Dados Consolidados'!$J$2:$J$38, 0)))</f>
        <v>#N/A</v>
      </c>
      <c r="AD42" s="25" t="e">
        <f>INT(INDEX('Dados Consolidados'!$W$2:$W$38, MATCH(P42, 'Dados Consolidados'!$P$2:$P$38, 0)))</f>
        <v>#N/A</v>
      </c>
    </row>
    <row r="43" spans="1:30" ht="20.100000000000001" customHeight="1" x14ac:dyDescent="0.25">
      <c r="A43" s="24"/>
      <c r="B43" s="24"/>
      <c r="E43" s="17"/>
      <c r="F43" s="17"/>
      <c r="G43" s="17"/>
      <c r="H43" s="17"/>
      <c r="J43" s="42"/>
      <c r="K43" s="17"/>
      <c r="L43" s="17"/>
      <c r="M43" s="18"/>
      <c r="N43" s="17"/>
      <c r="O43" s="17"/>
      <c r="P43" s="17"/>
      <c r="Y43" s="25" t="e">
        <f>INT(INDEX('Dados Consolidados'!$R$2:$R$38, MATCH(A43, 'Dados Consolidados'!$A$2:$A$38, 0)))</f>
        <v>#N/A</v>
      </c>
      <c r="Z43" s="25" t="e">
        <f>INT(INDEX('Dados Consolidados'!$S$2:$S$38, MATCH(B43, 'Dados Consolidados'!$B$2:$B$38, 0)))</f>
        <v>#N/A</v>
      </c>
      <c r="AA43" s="25" t="e">
        <f>INT(INDEX('Dados Consolidados'!$T$2:$T$38, MATCH(E43, 'Dados Consolidados'!$E$2:$E$38, 0)))</f>
        <v>#N/A</v>
      </c>
      <c r="AB43" s="25" t="e">
        <f>INT(INDEX('Dados Consolidados'!$U$2:$U$38, MATCH(H43, 'Dados Consolidados'!$H$2:$H$38, 0)))</f>
        <v>#N/A</v>
      </c>
      <c r="AC43" s="25" t="e">
        <f>INT(INDEX('Dados Consolidados'!$V$2:$V$38, MATCH(J43, 'Dados Consolidados'!$J$2:$J$38, 0)))</f>
        <v>#N/A</v>
      </c>
      <c r="AD43" s="25" t="e">
        <f>INT(INDEX('Dados Consolidados'!$W$2:$W$38, MATCH(P43, 'Dados Consolidados'!$P$2:$P$38, 0)))</f>
        <v>#N/A</v>
      </c>
    </row>
    <row r="44" spans="1:30" ht="20.100000000000001" customHeight="1" x14ac:dyDescent="0.25">
      <c r="A44" s="24"/>
      <c r="B44" s="24"/>
      <c r="E44" s="17"/>
      <c r="F44" s="17"/>
      <c r="G44" s="17"/>
      <c r="H44" s="17"/>
      <c r="I44" s="42"/>
      <c r="J44" s="42"/>
      <c r="K44" s="17"/>
      <c r="L44" s="17"/>
      <c r="M44" s="18"/>
      <c r="N44" s="17"/>
      <c r="O44" s="17"/>
      <c r="P44" s="17"/>
      <c r="Y44" s="25" t="e">
        <f>INT(INDEX('Dados Consolidados'!$R$2:$R$38, MATCH(A44, 'Dados Consolidados'!$A$2:$A$38, 0)))</f>
        <v>#N/A</v>
      </c>
      <c r="Z44" s="25" t="e">
        <f>INT(INDEX('Dados Consolidados'!$S$2:$S$38, MATCH(B44, 'Dados Consolidados'!$B$2:$B$38, 0)))</f>
        <v>#N/A</v>
      </c>
      <c r="AA44" s="25" t="e">
        <f>INT(INDEX('Dados Consolidados'!$T$2:$T$38, MATCH(E44, 'Dados Consolidados'!$E$2:$E$38, 0)))</f>
        <v>#N/A</v>
      </c>
      <c r="AB44" s="25" t="e">
        <f>INT(INDEX('Dados Consolidados'!$U$2:$U$38, MATCH(H44, 'Dados Consolidados'!$H$2:$H$38, 0)))</f>
        <v>#N/A</v>
      </c>
      <c r="AC44" s="25" t="e">
        <f>INT(INDEX('Dados Consolidados'!$V$2:$V$38, MATCH(J44, 'Dados Consolidados'!$J$2:$J$38, 0)))</f>
        <v>#N/A</v>
      </c>
      <c r="AD44" s="25" t="e">
        <f>INT(INDEX('Dados Consolidados'!$W$2:$W$38, MATCH(P44, 'Dados Consolidados'!$P$2:$P$38, 0)))</f>
        <v>#N/A</v>
      </c>
    </row>
    <row r="45" spans="1:30" ht="20.100000000000001" customHeight="1" x14ac:dyDescent="0.25">
      <c r="A45" s="24"/>
      <c r="B45" s="24"/>
      <c r="E45" s="17"/>
      <c r="F45" s="17"/>
      <c r="G45" s="17"/>
      <c r="H45" s="17"/>
      <c r="J45" s="42"/>
      <c r="K45" s="17"/>
      <c r="L45" s="17"/>
      <c r="M45" s="18"/>
      <c r="N45" s="17"/>
      <c r="O45" s="17"/>
      <c r="P45" s="17"/>
      <c r="Y45" s="25" t="e">
        <f>INT(INDEX('Dados Consolidados'!$R$2:$R$38, MATCH(A45, 'Dados Consolidados'!$A$2:$A$38, 0)))</f>
        <v>#N/A</v>
      </c>
      <c r="Z45" s="25" t="e">
        <f>INT(INDEX('Dados Consolidados'!$S$2:$S$38, MATCH(B45, 'Dados Consolidados'!$B$2:$B$38, 0)))</f>
        <v>#N/A</v>
      </c>
      <c r="AA45" s="25" t="e">
        <f>INT(INDEX('Dados Consolidados'!$T$2:$T$38, MATCH(E45, 'Dados Consolidados'!$E$2:$E$38, 0)))</f>
        <v>#N/A</v>
      </c>
      <c r="AB45" s="25" t="e">
        <f>INT(INDEX('Dados Consolidados'!$U$2:$U$38, MATCH(H45, 'Dados Consolidados'!$H$2:$H$38, 0)))</f>
        <v>#N/A</v>
      </c>
      <c r="AC45" s="25" t="e">
        <f>INT(INDEX('Dados Consolidados'!$V$2:$V$38, MATCH(J45, 'Dados Consolidados'!$J$2:$J$38, 0)))</f>
        <v>#N/A</v>
      </c>
      <c r="AD45" s="25" t="e">
        <f>INT(INDEX('Dados Consolidados'!$W$2:$W$38, MATCH(P45, 'Dados Consolidados'!$P$2:$P$38, 0)))</f>
        <v>#N/A</v>
      </c>
    </row>
    <row r="46" spans="1:30" ht="20.100000000000001" customHeight="1" x14ac:dyDescent="0.25">
      <c r="A46" s="24"/>
      <c r="B46" s="24"/>
      <c r="E46" s="17"/>
      <c r="F46" s="17"/>
      <c r="G46" s="17"/>
      <c r="H46" s="17"/>
      <c r="I46" s="42"/>
      <c r="J46" s="42"/>
      <c r="K46" s="17"/>
      <c r="L46" s="17"/>
      <c r="M46" s="18"/>
      <c r="N46" s="17"/>
      <c r="O46" s="17"/>
      <c r="P46" s="17"/>
      <c r="Y46" s="25" t="e">
        <f>INT(INDEX('Dados Consolidados'!$R$2:$R$38, MATCH(A46, 'Dados Consolidados'!$A$2:$A$38, 0)))</f>
        <v>#N/A</v>
      </c>
      <c r="Z46" s="25" t="e">
        <f>INT(INDEX('Dados Consolidados'!$S$2:$S$38, MATCH(B46, 'Dados Consolidados'!$B$2:$B$38, 0)))</f>
        <v>#N/A</v>
      </c>
      <c r="AA46" s="25" t="e">
        <f>INT(INDEX('Dados Consolidados'!$T$2:$T$38, MATCH(E46, 'Dados Consolidados'!$E$2:$E$38, 0)))</f>
        <v>#N/A</v>
      </c>
      <c r="AB46" s="25" t="e">
        <f>INT(INDEX('Dados Consolidados'!$U$2:$U$38, MATCH(H46, 'Dados Consolidados'!$H$2:$H$38, 0)))</f>
        <v>#N/A</v>
      </c>
      <c r="AC46" s="25" t="e">
        <f>INT(INDEX('Dados Consolidados'!$V$2:$V$38, MATCH(J46, 'Dados Consolidados'!$J$2:$J$38, 0)))</f>
        <v>#N/A</v>
      </c>
      <c r="AD46" s="25" t="e">
        <f>INT(INDEX('Dados Consolidados'!$W$2:$W$38, MATCH(P46, 'Dados Consolidados'!$P$2:$P$38, 0)))</f>
        <v>#N/A</v>
      </c>
    </row>
    <row r="47" spans="1:30" ht="20.100000000000001" customHeight="1" x14ac:dyDescent="0.25">
      <c r="A47" s="24"/>
      <c r="B47" s="24"/>
      <c r="E47" s="17"/>
      <c r="F47" s="17"/>
      <c r="G47" s="17"/>
      <c r="H47" s="17"/>
      <c r="J47" s="42"/>
      <c r="K47" s="17"/>
      <c r="L47" s="17"/>
      <c r="M47" s="18"/>
      <c r="N47" s="17"/>
      <c r="O47" s="17"/>
      <c r="P47" s="17"/>
      <c r="Y47" s="25" t="e">
        <f>INT(INDEX('Dados Consolidados'!$R$2:$R$38, MATCH(A47, 'Dados Consolidados'!$A$2:$A$38, 0)))</f>
        <v>#N/A</v>
      </c>
      <c r="Z47" s="25" t="e">
        <f>INT(INDEX('Dados Consolidados'!$S$2:$S$38, MATCH(B47, 'Dados Consolidados'!$B$2:$B$38, 0)))</f>
        <v>#N/A</v>
      </c>
      <c r="AA47" s="25" t="e">
        <f>INT(INDEX('Dados Consolidados'!$T$2:$T$38, MATCH(E47, 'Dados Consolidados'!$E$2:$E$38, 0)))</f>
        <v>#N/A</v>
      </c>
      <c r="AB47" s="25" t="e">
        <f>INT(INDEX('Dados Consolidados'!$U$2:$U$38, MATCH(H47, 'Dados Consolidados'!$H$2:$H$38, 0)))</f>
        <v>#N/A</v>
      </c>
      <c r="AC47" s="25" t="e">
        <f>INT(INDEX('Dados Consolidados'!$V$2:$V$38, MATCH(J47, 'Dados Consolidados'!$J$2:$J$38, 0)))</f>
        <v>#N/A</v>
      </c>
      <c r="AD47" s="25" t="e">
        <f>INT(INDEX('Dados Consolidados'!$W$2:$W$38, MATCH(P47, 'Dados Consolidados'!$P$2:$P$38, 0)))</f>
        <v>#N/A</v>
      </c>
    </row>
    <row r="48" spans="1:30" ht="20.100000000000001" customHeight="1" x14ac:dyDescent="0.25">
      <c r="A48" s="24"/>
      <c r="B48" s="24"/>
      <c r="E48" s="17"/>
      <c r="F48" s="17"/>
      <c r="G48" s="17"/>
      <c r="H48" s="17"/>
      <c r="J48" s="42"/>
      <c r="K48" s="17"/>
      <c r="L48" s="17"/>
      <c r="M48" s="18"/>
      <c r="N48" s="17"/>
      <c r="O48" s="17"/>
      <c r="P48" s="17"/>
      <c r="Y48" s="25" t="e">
        <f>INT(INDEX('Dados Consolidados'!$R$2:$R$38, MATCH(A48, 'Dados Consolidados'!$A$2:$A$38, 0)))</f>
        <v>#N/A</v>
      </c>
      <c r="Z48" s="25" t="e">
        <f>INT(INDEX('Dados Consolidados'!$S$2:$S$38, MATCH(B48, 'Dados Consolidados'!$B$2:$B$38, 0)))</f>
        <v>#N/A</v>
      </c>
      <c r="AA48" s="25" t="e">
        <f>INT(INDEX('Dados Consolidados'!$T$2:$T$38, MATCH(E48, 'Dados Consolidados'!$E$2:$E$38, 0)))</f>
        <v>#N/A</v>
      </c>
      <c r="AB48" s="25" t="e">
        <f>INT(INDEX('Dados Consolidados'!$U$2:$U$38, MATCH(H48, 'Dados Consolidados'!$H$2:$H$38, 0)))</f>
        <v>#N/A</v>
      </c>
      <c r="AC48" s="25" t="e">
        <f>INT(INDEX('Dados Consolidados'!$V$2:$V$38, MATCH(J48, 'Dados Consolidados'!$J$2:$J$38, 0)))</f>
        <v>#N/A</v>
      </c>
      <c r="AD48" s="25" t="e">
        <f>INT(INDEX('Dados Consolidados'!$W$2:$W$38, MATCH(P48, 'Dados Consolidados'!$P$2:$P$38, 0)))</f>
        <v>#N/A</v>
      </c>
    </row>
    <row r="49" spans="1:30" ht="20.100000000000001" customHeight="1" x14ac:dyDescent="0.25">
      <c r="A49" s="24"/>
      <c r="B49" s="24"/>
      <c r="E49" s="17"/>
      <c r="F49" s="17"/>
      <c r="G49" s="17"/>
      <c r="H49" s="17"/>
      <c r="I49" s="42"/>
      <c r="J49" s="42"/>
      <c r="K49" s="17"/>
      <c r="L49" s="17"/>
      <c r="M49" s="18"/>
      <c r="N49" s="17"/>
      <c r="O49" s="17"/>
      <c r="P49" s="17"/>
      <c r="Y49" s="25" t="e">
        <f>INT(INDEX('Dados Consolidados'!$R$2:$R$38, MATCH(A49, 'Dados Consolidados'!$A$2:$A$38, 0)))</f>
        <v>#N/A</v>
      </c>
      <c r="Z49" s="25" t="e">
        <f>INT(INDEX('Dados Consolidados'!$S$2:$S$38, MATCH(B49, 'Dados Consolidados'!$B$2:$B$38, 0)))</f>
        <v>#N/A</v>
      </c>
      <c r="AA49" s="25" t="e">
        <f>INT(INDEX('Dados Consolidados'!$T$2:$T$38, MATCH(E49, 'Dados Consolidados'!$E$2:$E$38, 0)))</f>
        <v>#N/A</v>
      </c>
      <c r="AB49" s="25" t="e">
        <f>INT(INDEX('Dados Consolidados'!$U$2:$U$38, MATCH(H49, 'Dados Consolidados'!$H$2:$H$38, 0)))</f>
        <v>#N/A</v>
      </c>
      <c r="AC49" s="25" t="e">
        <f>INT(INDEX('Dados Consolidados'!$V$2:$V$38, MATCH(J49, 'Dados Consolidados'!$J$2:$J$38, 0)))</f>
        <v>#N/A</v>
      </c>
      <c r="AD49" s="25" t="e">
        <f>INT(INDEX('Dados Consolidados'!$W$2:$W$38, MATCH(P49, 'Dados Consolidados'!$P$2:$P$38, 0)))</f>
        <v>#N/A</v>
      </c>
    </row>
    <row r="50" spans="1:30" ht="20.100000000000001" customHeight="1" x14ac:dyDescent="0.25">
      <c r="A50" s="24"/>
      <c r="B50" s="24"/>
      <c r="E50" s="17"/>
      <c r="F50" s="17"/>
      <c r="G50" s="17"/>
      <c r="H50" s="17"/>
      <c r="J50" s="42"/>
      <c r="K50" s="17"/>
      <c r="L50" s="17"/>
      <c r="M50" s="18"/>
      <c r="N50" s="17"/>
      <c r="O50" s="17"/>
      <c r="P50" s="17"/>
      <c r="Y50" s="25" t="e">
        <f>INT(INDEX('Dados Consolidados'!$R$2:$R$38, MATCH(A50, 'Dados Consolidados'!$A$2:$A$38, 0)))</f>
        <v>#N/A</v>
      </c>
      <c r="Z50" s="25" t="e">
        <f>INT(INDEX('Dados Consolidados'!$S$2:$S$38, MATCH(B50, 'Dados Consolidados'!$B$2:$B$38, 0)))</f>
        <v>#N/A</v>
      </c>
      <c r="AA50" s="25" t="e">
        <f>INT(INDEX('Dados Consolidados'!$T$2:$T$38, MATCH(E50, 'Dados Consolidados'!$E$2:$E$38, 0)))</f>
        <v>#N/A</v>
      </c>
      <c r="AB50" s="25" t="e">
        <f>INT(INDEX('Dados Consolidados'!$U$2:$U$38, MATCH(H50, 'Dados Consolidados'!$H$2:$H$38, 0)))</f>
        <v>#N/A</v>
      </c>
      <c r="AC50" s="25" t="e">
        <f>INT(INDEX('Dados Consolidados'!$V$2:$V$38, MATCH(J50, 'Dados Consolidados'!$J$2:$J$38, 0)))</f>
        <v>#N/A</v>
      </c>
      <c r="AD50" s="25" t="e">
        <f>INT(INDEX('Dados Consolidados'!$W$2:$W$38, MATCH(P50, 'Dados Consolidados'!$P$2:$P$38, 0)))</f>
        <v>#N/A</v>
      </c>
    </row>
    <row r="51" spans="1:30" ht="20.100000000000001" customHeight="1" x14ac:dyDescent="0.25">
      <c r="A51" s="24"/>
      <c r="B51" s="24"/>
      <c r="E51" s="17"/>
      <c r="F51" s="17"/>
      <c r="G51" s="17"/>
      <c r="H51" s="17"/>
      <c r="I51" s="42"/>
      <c r="J51" s="42"/>
      <c r="K51" s="17"/>
      <c r="L51" s="17"/>
      <c r="M51" s="18"/>
      <c r="N51" s="17"/>
      <c r="O51" s="17"/>
      <c r="P51" s="17"/>
      <c r="Y51" s="25" t="e">
        <f>INT(INDEX('Dados Consolidados'!$R$2:$R$38, MATCH(A51, 'Dados Consolidados'!$A$2:$A$38, 0)))</f>
        <v>#N/A</v>
      </c>
      <c r="Z51" s="25" t="e">
        <f>INT(INDEX('Dados Consolidados'!$S$2:$S$38, MATCH(B51, 'Dados Consolidados'!$B$2:$B$38, 0)))</f>
        <v>#N/A</v>
      </c>
      <c r="AA51" s="25" t="e">
        <f>INT(INDEX('Dados Consolidados'!$T$2:$T$38, MATCH(E51, 'Dados Consolidados'!$E$2:$E$38, 0)))</f>
        <v>#N/A</v>
      </c>
      <c r="AB51" s="25" t="e">
        <f>INT(INDEX('Dados Consolidados'!$U$2:$U$38, MATCH(H51, 'Dados Consolidados'!$H$2:$H$38, 0)))</f>
        <v>#N/A</v>
      </c>
      <c r="AC51" s="25" t="e">
        <f>INT(INDEX('Dados Consolidados'!$V$2:$V$38, MATCH(J51, 'Dados Consolidados'!$J$2:$J$38, 0)))</f>
        <v>#N/A</v>
      </c>
      <c r="AD51" s="25" t="e">
        <f>INT(INDEX('Dados Consolidados'!$W$2:$W$38, MATCH(P51, 'Dados Consolidados'!$P$2:$P$38, 0)))</f>
        <v>#N/A</v>
      </c>
    </row>
    <row r="52" spans="1:30" ht="20.100000000000001" customHeight="1" x14ac:dyDescent="0.25">
      <c r="A52" s="24"/>
      <c r="B52" s="24"/>
      <c r="E52" s="17"/>
      <c r="F52" s="17"/>
      <c r="G52" s="17"/>
      <c r="H52" s="17"/>
      <c r="J52" s="42"/>
      <c r="K52" s="17"/>
      <c r="L52" s="17"/>
      <c r="M52" s="18"/>
      <c r="N52" s="17"/>
      <c r="O52" s="17"/>
      <c r="P52" s="17"/>
      <c r="Y52" s="25" t="e">
        <f>INT(INDEX('Dados Consolidados'!$R$2:$R$38, MATCH(A52, 'Dados Consolidados'!$A$2:$A$38, 0)))</f>
        <v>#N/A</v>
      </c>
      <c r="Z52" s="25" t="e">
        <f>INT(INDEX('Dados Consolidados'!$S$2:$S$38, MATCH(B52, 'Dados Consolidados'!$B$2:$B$38, 0)))</f>
        <v>#N/A</v>
      </c>
      <c r="AA52" s="25" t="e">
        <f>INT(INDEX('Dados Consolidados'!$T$2:$T$38, MATCH(E52, 'Dados Consolidados'!$E$2:$E$38, 0)))</f>
        <v>#N/A</v>
      </c>
      <c r="AB52" s="25" t="e">
        <f>INT(INDEX('Dados Consolidados'!$U$2:$U$38, MATCH(H52, 'Dados Consolidados'!$H$2:$H$38, 0)))</f>
        <v>#N/A</v>
      </c>
      <c r="AC52" s="25" t="e">
        <f>INT(INDEX('Dados Consolidados'!$V$2:$V$38, MATCH(J52, 'Dados Consolidados'!$J$2:$J$38, 0)))</f>
        <v>#N/A</v>
      </c>
      <c r="AD52" s="25" t="e">
        <f>INT(INDEX('Dados Consolidados'!$W$2:$W$38, MATCH(P52, 'Dados Consolidados'!$P$2:$P$38, 0)))</f>
        <v>#N/A</v>
      </c>
    </row>
    <row r="53" spans="1:30" ht="20.100000000000001" customHeight="1" x14ac:dyDescent="0.25">
      <c r="A53" s="24"/>
      <c r="B53" s="24"/>
      <c r="E53" s="17"/>
      <c r="F53" s="17"/>
      <c r="G53" s="17"/>
      <c r="H53" s="17"/>
      <c r="I53" s="42"/>
      <c r="J53" s="42"/>
      <c r="K53" s="17"/>
      <c r="L53" s="17"/>
      <c r="M53" s="18"/>
      <c r="N53" s="17"/>
      <c r="O53" s="17"/>
      <c r="P53" s="17"/>
      <c r="Y53" s="25" t="e">
        <f>INT(INDEX('Dados Consolidados'!$R$2:$R$38, MATCH(A53, 'Dados Consolidados'!$A$2:$A$38, 0)))</f>
        <v>#N/A</v>
      </c>
      <c r="Z53" s="25" t="e">
        <f>INT(INDEX('Dados Consolidados'!$S$2:$S$38, MATCH(B53, 'Dados Consolidados'!$B$2:$B$38, 0)))</f>
        <v>#N/A</v>
      </c>
      <c r="AA53" s="25" t="e">
        <f>INT(INDEX('Dados Consolidados'!$T$2:$T$38, MATCH(E53, 'Dados Consolidados'!$E$2:$E$38, 0)))</f>
        <v>#N/A</v>
      </c>
      <c r="AB53" s="25" t="e">
        <f>INT(INDEX('Dados Consolidados'!$U$2:$U$38, MATCH(H53, 'Dados Consolidados'!$H$2:$H$38, 0)))</f>
        <v>#N/A</v>
      </c>
      <c r="AC53" s="25" t="e">
        <f>INT(INDEX('Dados Consolidados'!$V$2:$V$38, MATCH(J53, 'Dados Consolidados'!$J$2:$J$38, 0)))</f>
        <v>#N/A</v>
      </c>
      <c r="AD53" s="25" t="e">
        <f>INT(INDEX('Dados Consolidados'!$W$2:$W$38, MATCH(P53, 'Dados Consolidados'!$P$2:$P$38, 0)))</f>
        <v>#N/A</v>
      </c>
    </row>
    <row r="54" spans="1:30" ht="20.100000000000001" customHeight="1" x14ac:dyDescent="0.25">
      <c r="A54" s="24"/>
      <c r="B54" s="24"/>
      <c r="E54" s="17"/>
      <c r="F54" s="17"/>
      <c r="G54" s="17"/>
      <c r="H54" s="17"/>
      <c r="J54" s="42"/>
      <c r="K54" s="17"/>
      <c r="L54" s="17"/>
      <c r="M54" s="18"/>
      <c r="N54" s="17"/>
      <c r="O54" s="17"/>
      <c r="P54" s="17"/>
      <c r="Y54" s="25" t="e">
        <f>INT(INDEX('Dados Consolidados'!$R$2:$R$38, MATCH(A54, 'Dados Consolidados'!$A$2:$A$38, 0)))</f>
        <v>#N/A</v>
      </c>
      <c r="Z54" s="25" t="e">
        <f>INT(INDEX('Dados Consolidados'!$S$2:$S$38, MATCH(B54, 'Dados Consolidados'!$B$2:$B$38, 0)))</f>
        <v>#N/A</v>
      </c>
      <c r="AA54" s="25" t="e">
        <f>INT(INDEX('Dados Consolidados'!$T$2:$T$38, MATCH(E54, 'Dados Consolidados'!$E$2:$E$38, 0)))</f>
        <v>#N/A</v>
      </c>
      <c r="AB54" s="25" t="e">
        <f>INT(INDEX('Dados Consolidados'!$U$2:$U$38, MATCH(H54, 'Dados Consolidados'!$H$2:$H$38, 0)))</f>
        <v>#N/A</v>
      </c>
      <c r="AC54" s="25" t="e">
        <f>INT(INDEX('Dados Consolidados'!$V$2:$V$38, MATCH(J54, 'Dados Consolidados'!$J$2:$J$38, 0)))</f>
        <v>#N/A</v>
      </c>
      <c r="AD54" s="25" t="e">
        <f>INT(INDEX('Dados Consolidados'!$W$2:$W$38, MATCH(P54, 'Dados Consolidados'!$P$2:$P$38, 0)))</f>
        <v>#N/A</v>
      </c>
    </row>
    <row r="55" spans="1:30" ht="20.100000000000001" customHeight="1" x14ac:dyDescent="0.25">
      <c r="A55" s="24"/>
      <c r="B55" s="24"/>
      <c r="E55" s="17"/>
      <c r="F55" s="17"/>
      <c r="G55" s="17"/>
      <c r="H55" s="17"/>
      <c r="J55" s="42"/>
      <c r="K55" s="17"/>
      <c r="L55" s="17"/>
      <c r="M55" s="18"/>
      <c r="N55" s="17"/>
      <c r="O55" s="17"/>
      <c r="P55" s="17"/>
      <c r="Y55" s="25" t="e">
        <f>INT(INDEX('Dados Consolidados'!$R$2:$R$38, MATCH(A55, 'Dados Consolidados'!$A$2:$A$38, 0)))</f>
        <v>#N/A</v>
      </c>
      <c r="Z55" s="25" t="e">
        <f>INT(INDEX('Dados Consolidados'!$S$2:$S$38, MATCH(B55, 'Dados Consolidados'!$B$2:$B$38, 0)))</f>
        <v>#N/A</v>
      </c>
      <c r="AA55" s="25" t="e">
        <f>INT(INDEX('Dados Consolidados'!$T$2:$T$38, MATCH(E55, 'Dados Consolidados'!$E$2:$E$38, 0)))</f>
        <v>#N/A</v>
      </c>
      <c r="AB55" s="25" t="e">
        <f>INT(INDEX('Dados Consolidados'!$U$2:$U$38, MATCH(H55, 'Dados Consolidados'!$H$2:$H$38, 0)))</f>
        <v>#N/A</v>
      </c>
      <c r="AC55" s="25" t="e">
        <f>INT(INDEX('Dados Consolidados'!$V$2:$V$38, MATCH(J55, 'Dados Consolidados'!$J$2:$J$38, 0)))</f>
        <v>#N/A</v>
      </c>
      <c r="AD55" s="25" t="e">
        <f>INT(INDEX('Dados Consolidados'!$W$2:$W$38, MATCH(P55, 'Dados Consolidados'!$P$2:$P$38, 0)))</f>
        <v>#N/A</v>
      </c>
    </row>
    <row r="56" spans="1:30" ht="20.100000000000001" customHeight="1" x14ac:dyDescent="0.25">
      <c r="A56" s="24"/>
      <c r="B56" s="24"/>
      <c r="E56" s="17"/>
      <c r="F56" s="17"/>
      <c r="G56" s="17"/>
      <c r="H56" s="17"/>
      <c r="I56" s="42"/>
      <c r="J56" s="42"/>
      <c r="K56" s="17"/>
      <c r="L56" s="17"/>
      <c r="M56" s="18"/>
      <c r="N56" s="17"/>
      <c r="O56" s="17"/>
      <c r="P56" s="17"/>
      <c r="Y56" s="25" t="e">
        <f>INT(INDEX('Dados Consolidados'!$R$2:$R$38, MATCH(A56, 'Dados Consolidados'!$A$2:$A$38, 0)))</f>
        <v>#N/A</v>
      </c>
      <c r="Z56" s="25" t="e">
        <f>INT(INDEX('Dados Consolidados'!$S$2:$S$38, MATCH(B56, 'Dados Consolidados'!$B$2:$B$38, 0)))</f>
        <v>#N/A</v>
      </c>
      <c r="AA56" s="25" t="e">
        <f>INT(INDEX('Dados Consolidados'!$T$2:$T$38, MATCH(E56, 'Dados Consolidados'!$E$2:$E$38, 0)))</f>
        <v>#N/A</v>
      </c>
      <c r="AB56" s="25" t="e">
        <f>INT(INDEX('Dados Consolidados'!$U$2:$U$38, MATCH(H56, 'Dados Consolidados'!$H$2:$H$38, 0)))</f>
        <v>#N/A</v>
      </c>
      <c r="AC56" s="25" t="e">
        <f>INT(INDEX('Dados Consolidados'!$V$2:$V$38, MATCH(J56, 'Dados Consolidados'!$J$2:$J$38, 0)))</f>
        <v>#N/A</v>
      </c>
      <c r="AD56" s="25" t="e">
        <f>INT(INDEX('Dados Consolidados'!$W$2:$W$38, MATCH(P56, 'Dados Consolidados'!$P$2:$P$38, 0)))</f>
        <v>#N/A</v>
      </c>
    </row>
    <row r="57" spans="1:30" ht="20.100000000000001" customHeight="1" x14ac:dyDescent="0.25">
      <c r="A57" s="24"/>
      <c r="B57" s="24"/>
      <c r="E57" s="17"/>
      <c r="F57" s="17"/>
      <c r="G57" s="17"/>
      <c r="H57" s="17"/>
      <c r="I57" s="42"/>
      <c r="J57" s="42"/>
      <c r="K57" s="17"/>
      <c r="L57" s="17"/>
      <c r="M57" s="18"/>
      <c r="N57" s="19"/>
      <c r="O57" s="19"/>
      <c r="P57" s="17"/>
      <c r="Y57" s="25" t="e">
        <f>INT(INDEX('Dados Consolidados'!$R$2:$R$38, MATCH(A57, 'Dados Consolidados'!$A$2:$A$38, 0)))</f>
        <v>#N/A</v>
      </c>
      <c r="Z57" s="25" t="e">
        <f>INT(INDEX('Dados Consolidados'!$S$2:$S$38, MATCH(B57, 'Dados Consolidados'!$B$2:$B$38, 0)))</f>
        <v>#N/A</v>
      </c>
      <c r="AA57" s="25" t="e">
        <f>INT(INDEX('Dados Consolidados'!$T$2:$T$38, MATCH(E57, 'Dados Consolidados'!$E$2:$E$38, 0)))</f>
        <v>#N/A</v>
      </c>
      <c r="AB57" s="25" t="e">
        <f>INT(INDEX('Dados Consolidados'!$U$2:$U$38, MATCH(H57, 'Dados Consolidados'!$H$2:$H$38, 0)))</f>
        <v>#N/A</v>
      </c>
      <c r="AC57" s="25" t="e">
        <f>INT(INDEX('Dados Consolidados'!$V$2:$V$38, MATCH(J57, 'Dados Consolidados'!$J$2:$J$38, 0)))</f>
        <v>#N/A</v>
      </c>
      <c r="AD57" s="25" t="e">
        <f>INT(INDEX('Dados Consolidados'!$W$2:$W$38, MATCH(P57, 'Dados Consolidados'!$P$2:$P$38, 0)))</f>
        <v>#N/A</v>
      </c>
    </row>
    <row r="58" spans="1:30" ht="20.100000000000001" customHeight="1" x14ac:dyDescent="0.25">
      <c r="A58" s="24"/>
      <c r="B58" s="24"/>
      <c r="E58" s="17"/>
      <c r="F58" s="17"/>
      <c r="G58" s="17"/>
      <c r="H58" s="17"/>
      <c r="I58" s="42"/>
      <c r="J58" s="42"/>
      <c r="K58" s="17"/>
      <c r="L58" s="17"/>
      <c r="M58" s="18"/>
      <c r="N58" s="19"/>
      <c r="O58" s="19"/>
      <c r="P58" s="17"/>
      <c r="Y58" s="25" t="e">
        <f>INT(INDEX('Dados Consolidados'!$R$2:$R$38, MATCH(A58, 'Dados Consolidados'!$A$2:$A$38, 0)))</f>
        <v>#N/A</v>
      </c>
      <c r="Z58" s="25" t="e">
        <f>INT(INDEX('Dados Consolidados'!$S$2:$S$38, MATCH(B58, 'Dados Consolidados'!$B$2:$B$38, 0)))</f>
        <v>#N/A</v>
      </c>
      <c r="AA58" s="25" t="e">
        <f>INT(INDEX('Dados Consolidados'!$T$2:$T$38, MATCH(E58, 'Dados Consolidados'!$E$2:$E$38, 0)))</f>
        <v>#N/A</v>
      </c>
      <c r="AB58" s="25" t="e">
        <f>INT(INDEX('Dados Consolidados'!$U$2:$U$38, MATCH(H58, 'Dados Consolidados'!$H$2:$H$38, 0)))</f>
        <v>#N/A</v>
      </c>
      <c r="AC58" s="25" t="e">
        <f>INT(INDEX('Dados Consolidados'!$V$2:$V$38, MATCH(J58, 'Dados Consolidados'!$J$2:$J$38, 0)))</f>
        <v>#N/A</v>
      </c>
      <c r="AD58" s="25" t="e">
        <f>INT(INDEX('Dados Consolidados'!$W$2:$W$38, MATCH(P58, 'Dados Consolidados'!$P$2:$P$38, 0)))</f>
        <v>#N/A</v>
      </c>
    </row>
    <row r="59" spans="1:30" ht="20.100000000000001" customHeight="1" x14ac:dyDescent="0.25">
      <c r="A59" s="24"/>
      <c r="B59" s="24"/>
      <c r="E59" s="17"/>
      <c r="F59" s="17"/>
      <c r="G59" s="17"/>
      <c r="H59" s="17"/>
      <c r="I59" s="42"/>
      <c r="J59" s="42"/>
      <c r="K59" s="17"/>
      <c r="L59" s="17"/>
      <c r="M59" s="18"/>
      <c r="N59" s="19"/>
      <c r="O59" s="19"/>
      <c r="P59" s="17"/>
      <c r="Y59" s="25" t="e">
        <f>INT(INDEX('Dados Consolidados'!$R$2:$R$38, MATCH(A59, 'Dados Consolidados'!$A$2:$A$38, 0)))</f>
        <v>#N/A</v>
      </c>
      <c r="Z59" s="25" t="e">
        <f>INT(INDEX('Dados Consolidados'!$S$2:$S$38, MATCH(B59, 'Dados Consolidados'!$B$2:$B$38, 0)))</f>
        <v>#N/A</v>
      </c>
      <c r="AA59" s="25" t="e">
        <f>INT(INDEX('Dados Consolidados'!$T$2:$T$38, MATCH(E59, 'Dados Consolidados'!$E$2:$E$38, 0)))</f>
        <v>#N/A</v>
      </c>
      <c r="AB59" s="25" t="e">
        <f>INT(INDEX('Dados Consolidados'!$U$2:$U$38, MATCH(H59, 'Dados Consolidados'!$H$2:$H$38, 0)))</f>
        <v>#N/A</v>
      </c>
      <c r="AC59" s="25" t="e">
        <f>INT(INDEX('Dados Consolidados'!$V$2:$V$38, MATCH(J59, 'Dados Consolidados'!$J$2:$J$38, 0)))</f>
        <v>#N/A</v>
      </c>
      <c r="AD59" s="25" t="e">
        <f>INT(INDEX('Dados Consolidados'!$W$2:$W$38, MATCH(P59, 'Dados Consolidados'!$P$2:$P$38, 0)))</f>
        <v>#N/A</v>
      </c>
    </row>
    <row r="60" spans="1:30" ht="20.100000000000001" customHeight="1" x14ac:dyDescent="0.25">
      <c r="A60" s="24"/>
      <c r="B60" s="24"/>
      <c r="E60" s="17"/>
      <c r="F60" s="17"/>
      <c r="G60" s="17"/>
      <c r="H60" s="17"/>
      <c r="I60" s="42"/>
      <c r="J60" s="42"/>
      <c r="K60" s="17"/>
      <c r="L60" s="17"/>
      <c r="M60" s="18"/>
      <c r="N60" s="19"/>
      <c r="O60" s="19"/>
      <c r="P60" s="17"/>
      <c r="Y60" s="25" t="e">
        <f>INT(INDEX('Dados Consolidados'!$R$2:$R$38, MATCH(A60, 'Dados Consolidados'!$A$2:$A$38, 0)))</f>
        <v>#N/A</v>
      </c>
      <c r="Z60" s="25" t="e">
        <f>INT(INDEX('Dados Consolidados'!$S$2:$S$38, MATCH(B60, 'Dados Consolidados'!$B$2:$B$38, 0)))</f>
        <v>#N/A</v>
      </c>
      <c r="AA60" s="25" t="e">
        <f>INT(INDEX('Dados Consolidados'!$T$2:$T$38, MATCH(E60, 'Dados Consolidados'!$E$2:$E$38, 0)))</f>
        <v>#N/A</v>
      </c>
      <c r="AB60" s="25" t="e">
        <f>INT(INDEX('Dados Consolidados'!$U$2:$U$38, MATCH(H60, 'Dados Consolidados'!$H$2:$H$38, 0)))</f>
        <v>#N/A</v>
      </c>
      <c r="AC60" s="25" t="e">
        <f>INT(INDEX('Dados Consolidados'!$V$2:$V$38, MATCH(J60, 'Dados Consolidados'!$J$2:$J$38, 0)))</f>
        <v>#N/A</v>
      </c>
      <c r="AD60" s="25" t="e">
        <f>INT(INDEX('Dados Consolidados'!$W$2:$W$38, MATCH(P60, 'Dados Consolidados'!$P$2:$P$38, 0)))</f>
        <v>#N/A</v>
      </c>
    </row>
    <row r="61" spans="1:30" ht="20.100000000000001" customHeight="1" x14ac:dyDescent="0.25">
      <c r="A61" s="24"/>
      <c r="B61" s="24"/>
      <c r="E61" s="17"/>
      <c r="F61" s="17"/>
      <c r="G61" s="17"/>
      <c r="H61" s="17"/>
      <c r="I61" s="42"/>
      <c r="J61" s="42"/>
      <c r="K61" s="17"/>
      <c r="L61" s="17"/>
      <c r="M61" s="18"/>
      <c r="N61" s="19"/>
      <c r="O61" s="19"/>
      <c r="P61" s="17"/>
      <c r="Y61" s="25" t="e">
        <f>INT(INDEX('Dados Consolidados'!$R$2:$R$38, MATCH(A61, 'Dados Consolidados'!$A$2:$A$38, 0)))</f>
        <v>#N/A</v>
      </c>
      <c r="Z61" s="25" t="e">
        <f>INT(INDEX('Dados Consolidados'!$S$2:$S$38, MATCH(B61, 'Dados Consolidados'!$B$2:$B$38, 0)))</f>
        <v>#N/A</v>
      </c>
      <c r="AA61" s="25" t="e">
        <f>INT(INDEX('Dados Consolidados'!$T$2:$T$38, MATCH(E61, 'Dados Consolidados'!$E$2:$E$38, 0)))</f>
        <v>#N/A</v>
      </c>
      <c r="AB61" s="25" t="e">
        <f>INT(INDEX('Dados Consolidados'!$U$2:$U$38, MATCH(H61, 'Dados Consolidados'!$H$2:$H$38, 0)))</f>
        <v>#N/A</v>
      </c>
      <c r="AC61" s="25" t="e">
        <f>INT(INDEX('Dados Consolidados'!$V$2:$V$38, MATCH(J61, 'Dados Consolidados'!$J$2:$J$38, 0)))</f>
        <v>#N/A</v>
      </c>
      <c r="AD61" s="25" t="e">
        <f>INT(INDEX('Dados Consolidados'!$W$2:$W$38, MATCH(P61, 'Dados Consolidados'!$P$2:$P$38, 0)))</f>
        <v>#N/A</v>
      </c>
    </row>
    <row r="62" spans="1:30" ht="20.100000000000001" customHeight="1" x14ac:dyDescent="0.25">
      <c r="A62" s="24"/>
      <c r="B62" s="24"/>
      <c r="E62" s="17"/>
      <c r="F62" s="17"/>
      <c r="G62" s="17"/>
      <c r="H62" s="17"/>
      <c r="I62" s="42"/>
      <c r="J62" s="42"/>
      <c r="K62" s="17"/>
      <c r="L62" s="17"/>
      <c r="M62" s="18"/>
      <c r="N62" s="19"/>
      <c r="O62" s="19"/>
      <c r="P62" s="17"/>
      <c r="Y62" s="25" t="e">
        <f>INT(INDEX('Dados Consolidados'!$R$2:$R$38, MATCH(A62, 'Dados Consolidados'!$A$2:$A$38, 0)))</f>
        <v>#N/A</v>
      </c>
      <c r="Z62" s="25" t="e">
        <f>INT(INDEX('Dados Consolidados'!$S$2:$S$38, MATCH(B62, 'Dados Consolidados'!$B$2:$B$38, 0)))</f>
        <v>#N/A</v>
      </c>
      <c r="AA62" s="25" t="e">
        <f>INT(INDEX('Dados Consolidados'!$T$2:$T$38, MATCH(E62, 'Dados Consolidados'!$E$2:$E$38, 0)))</f>
        <v>#N/A</v>
      </c>
      <c r="AB62" s="25" t="e">
        <f>INT(INDEX('Dados Consolidados'!$U$2:$U$38, MATCH(H62, 'Dados Consolidados'!$H$2:$H$38, 0)))</f>
        <v>#N/A</v>
      </c>
      <c r="AC62" s="25" t="e">
        <f>INT(INDEX('Dados Consolidados'!$V$2:$V$38, MATCH(J62, 'Dados Consolidados'!$J$2:$J$38, 0)))</f>
        <v>#N/A</v>
      </c>
      <c r="AD62" s="25" t="e">
        <f>INT(INDEX('Dados Consolidados'!$W$2:$W$38, MATCH(P62, 'Dados Consolidados'!$P$2:$P$38, 0)))</f>
        <v>#N/A</v>
      </c>
    </row>
    <row r="63" spans="1:30" ht="20.100000000000001" customHeight="1" x14ac:dyDescent="0.25">
      <c r="A63" s="24"/>
      <c r="B63" s="24"/>
      <c r="E63" s="17"/>
      <c r="F63" s="17"/>
      <c r="G63" s="17"/>
      <c r="H63" s="17"/>
      <c r="I63" s="42"/>
      <c r="J63" s="42"/>
      <c r="K63" s="17"/>
      <c r="L63" s="17"/>
      <c r="M63" s="18"/>
      <c r="N63" s="19"/>
      <c r="O63" s="19"/>
      <c r="P63" s="17"/>
      <c r="Y63" s="25" t="e">
        <f>INT(INDEX('Dados Consolidados'!$R$2:$R$38, MATCH(A63, 'Dados Consolidados'!$A$2:$A$38, 0)))</f>
        <v>#N/A</v>
      </c>
      <c r="Z63" s="25" t="e">
        <f>INT(INDEX('Dados Consolidados'!$S$2:$S$38, MATCH(B63, 'Dados Consolidados'!$B$2:$B$38, 0)))</f>
        <v>#N/A</v>
      </c>
      <c r="AA63" s="25" t="e">
        <f>INT(INDEX('Dados Consolidados'!$T$2:$T$38, MATCH(E63, 'Dados Consolidados'!$E$2:$E$38, 0)))</f>
        <v>#N/A</v>
      </c>
      <c r="AB63" s="25" t="e">
        <f>INT(INDEX('Dados Consolidados'!$U$2:$U$38, MATCH(H63, 'Dados Consolidados'!$H$2:$H$38, 0)))</f>
        <v>#N/A</v>
      </c>
      <c r="AC63" s="25" t="e">
        <f>INT(INDEX('Dados Consolidados'!$V$2:$V$38, MATCH(J63, 'Dados Consolidados'!$J$2:$J$38, 0)))</f>
        <v>#N/A</v>
      </c>
      <c r="AD63" s="25" t="e">
        <f>INT(INDEX('Dados Consolidados'!$W$2:$W$38, MATCH(P63, 'Dados Consolidados'!$P$2:$P$38, 0)))</f>
        <v>#N/A</v>
      </c>
    </row>
    <row r="64" spans="1:30" ht="20.100000000000001" customHeight="1" x14ac:dyDescent="0.25">
      <c r="A64" s="24"/>
      <c r="B64" s="24"/>
      <c r="E64" s="17"/>
      <c r="F64" s="17"/>
      <c r="G64" s="17"/>
      <c r="H64" s="17"/>
      <c r="I64" s="42"/>
      <c r="J64" s="42"/>
      <c r="K64" s="17"/>
      <c r="L64" s="17"/>
      <c r="M64" s="18"/>
      <c r="N64" s="19"/>
      <c r="O64" s="19"/>
      <c r="P64" s="17"/>
      <c r="Y64" s="25" t="e">
        <f>INT(INDEX('Dados Consolidados'!$R$2:$R$38, MATCH(A64, 'Dados Consolidados'!$A$2:$A$38, 0)))</f>
        <v>#N/A</v>
      </c>
      <c r="Z64" s="25" t="e">
        <f>INT(INDEX('Dados Consolidados'!$S$2:$S$38, MATCH(B64, 'Dados Consolidados'!$B$2:$B$38, 0)))</f>
        <v>#N/A</v>
      </c>
      <c r="AA64" s="25" t="e">
        <f>INT(INDEX('Dados Consolidados'!$T$2:$T$38, MATCH(E64, 'Dados Consolidados'!$E$2:$E$38, 0)))</f>
        <v>#N/A</v>
      </c>
      <c r="AB64" s="25" t="e">
        <f>INT(INDEX('Dados Consolidados'!$U$2:$U$38, MATCH(H64, 'Dados Consolidados'!$H$2:$H$38, 0)))</f>
        <v>#N/A</v>
      </c>
      <c r="AC64" s="25" t="e">
        <f>INT(INDEX('Dados Consolidados'!$V$2:$V$38, MATCH(J64, 'Dados Consolidados'!$J$2:$J$38, 0)))</f>
        <v>#N/A</v>
      </c>
      <c r="AD64" s="25" t="e">
        <f>INT(INDEX('Dados Consolidados'!$W$2:$W$38, MATCH(P64, 'Dados Consolidados'!$P$2:$P$38, 0)))</f>
        <v>#N/A</v>
      </c>
    </row>
    <row r="65" spans="1:30" ht="20.100000000000001" customHeight="1" x14ac:dyDescent="0.25">
      <c r="A65" s="24"/>
      <c r="B65" s="24"/>
      <c r="E65" s="17"/>
      <c r="F65" s="17"/>
      <c r="G65" s="17"/>
      <c r="H65" s="17"/>
      <c r="I65" s="42"/>
      <c r="J65" s="42"/>
      <c r="K65" s="17"/>
      <c r="L65" s="17"/>
      <c r="M65" s="18"/>
      <c r="N65" s="19"/>
      <c r="O65" s="19"/>
      <c r="P65" s="17"/>
      <c r="Y65" s="25" t="e">
        <f>INT(INDEX('Dados Consolidados'!$R$2:$R$38, MATCH(A65, 'Dados Consolidados'!$A$2:$A$38, 0)))</f>
        <v>#N/A</v>
      </c>
      <c r="Z65" s="25" t="e">
        <f>INT(INDEX('Dados Consolidados'!$S$2:$S$38, MATCH(B65, 'Dados Consolidados'!$B$2:$B$38, 0)))</f>
        <v>#N/A</v>
      </c>
      <c r="AA65" s="25" t="e">
        <f>INT(INDEX('Dados Consolidados'!$T$2:$T$38, MATCH(E65, 'Dados Consolidados'!$E$2:$E$38, 0)))</f>
        <v>#N/A</v>
      </c>
      <c r="AB65" s="25" t="e">
        <f>INT(INDEX('Dados Consolidados'!$U$2:$U$38, MATCH(H65, 'Dados Consolidados'!$H$2:$H$38, 0)))</f>
        <v>#N/A</v>
      </c>
      <c r="AC65" s="25" t="e">
        <f>INT(INDEX('Dados Consolidados'!$V$2:$V$38, MATCH(J65, 'Dados Consolidados'!$J$2:$J$38, 0)))</f>
        <v>#N/A</v>
      </c>
      <c r="AD65" s="25" t="e">
        <f>INT(INDEX('Dados Consolidados'!$W$2:$W$38, MATCH(P65, 'Dados Consolidados'!$P$2:$P$38, 0)))</f>
        <v>#N/A</v>
      </c>
    </row>
    <row r="66" spans="1:30" ht="20.100000000000001" customHeight="1" x14ac:dyDescent="0.25">
      <c r="A66" s="24"/>
      <c r="B66" s="24"/>
      <c r="E66" s="17"/>
      <c r="F66" s="17"/>
      <c r="G66" s="17"/>
      <c r="H66" s="17"/>
      <c r="I66" s="42"/>
      <c r="J66" s="42"/>
      <c r="K66" s="17"/>
      <c r="L66" s="17"/>
      <c r="M66" s="18"/>
      <c r="N66" s="19"/>
      <c r="O66" s="19"/>
      <c r="P66" s="17"/>
      <c r="Y66" s="25" t="e">
        <f>INT(INDEX('Dados Consolidados'!$R$2:$R$38, MATCH(A66, 'Dados Consolidados'!$A$2:$A$38, 0)))</f>
        <v>#N/A</v>
      </c>
      <c r="Z66" s="25" t="e">
        <f>INT(INDEX('Dados Consolidados'!$S$2:$S$38, MATCH(B66, 'Dados Consolidados'!$B$2:$B$38, 0)))</f>
        <v>#N/A</v>
      </c>
      <c r="AA66" s="25" t="e">
        <f>INT(INDEX('Dados Consolidados'!$T$2:$T$38, MATCH(E66, 'Dados Consolidados'!$E$2:$E$38, 0)))</f>
        <v>#N/A</v>
      </c>
      <c r="AB66" s="25" t="e">
        <f>INT(INDEX('Dados Consolidados'!$U$2:$U$38, MATCH(H66, 'Dados Consolidados'!$H$2:$H$38, 0)))</f>
        <v>#N/A</v>
      </c>
      <c r="AC66" s="25" t="e">
        <f>INT(INDEX('Dados Consolidados'!$V$2:$V$38, MATCH(J66, 'Dados Consolidados'!$J$2:$J$38, 0)))</f>
        <v>#N/A</v>
      </c>
      <c r="AD66" s="25" t="e">
        <f>INT(INDEX('Dados Consolidados'!$W$2:$W$38, MATCH(P66, 'Dados Consolidados'!$P$2:$P$38, 0)))</f>
        <v>#N/A</v>
      </c>
    </row>
    <row r="67" spans="1:30" ht="20.100000000000001" customHeight="1" x14ac:dyDescent="0.25">
      <c r="A67" s="24"/>
      <c r="B67" s="24"/>
      <c r="E67" s="17"/>
      <c r="F67" s="17"/>
      <c r="G67" s="17"/>
      <c r="H67" s="17"/>
      <c r="I67" s="42"/>
      <c r="J67" s="42"/>
      <c r="K67" s="17"/>
      <c r="L67" s="17"/>
      <c r="M67" s="18"/>
      <c r="N67" s="19"/>
      <c r="O67" s="19"/>
      <c r="P67" s="17"/>
      <c r="Y67" s="25" t="e">
        <f>INT(INDEX('Dados Consolidados'!$R$2:$R$38, MATCH(A67, 'Dados Consolidados'!$A$2:$A$38, 0)))</f>
        <v>#N/A</v>
      </c>
      <c r="Z67" s="25" t="e">
        <f>INT(INDEX('Dados Consolidados'!$S$2:$S$38, MATCH(B67, 'Dados Consolidados'!$B$2:$B$38, 0)))</f>
        <v>#N/A</v>
      </c>
      <c r="AA67" s="25" t="e">
        <f>INT(INDEX('Dados Consolidados'!$T$2:$T$38, MATCH(E67, 'Dados Consolidados'!$E$2:$E$38, 0)))</f>
        <v>#N/A</v>
      </c>
      <c r="AB67" s="25" t="e">
        <f>INT(INDEX('Dados Consolidados'!$U$2:$U$38, MATCH(H67, 'Dados Consolidados'!$H$2:$H$38, 0)))</f>
        <v>#N/A</v>
      </c>
      <c r="AC67" s="25" t="e">
        <f>INT(INDEX('Dados Consolidados'!$V$2:$V$38, MATCH(J67, 'Dados Consolidados'!$J$2:$J$38, 0)))</f>
        <v>#N/A</v>
      </c>
      <c r="AD67" s="25" t="e">
        <f>INT(INDEX('Dados Consolidados'!$W$2:$W$38, MATCH(P67, 'Dados Consolidados'!$P$2:$P$38, 0)))</f>
        <v>#N/A</v>
      </c>
    </row>
    <row r="68" spans="1:30" ht="20.100000000000001" customHeight="1" x14ac:dyDescent="0.25">
      <c r="A68" s="24"/>
      <c r="B68" s="24"/>
      <c r="E68" s="17"/>
      <c r="F68" s="17"/>
      <c r="G68" s="17"/>
      <c r="H68" s="17"/>
      <c r="I68" s="42"/>
      <c r="J68" s="42"/>
      <c r="K68" s="17"/>
      <c r="L68" s="17"/>
      <c r="M68" s="18"/>
      <c r="N68" s="19"/>
      <c r="O68" s="19"/>
      <c r="P68" s="17"/>
      <c r="Y68" s="25" t="e">
        <f>INT(INDEX('Dados Consolidados'!$R$2:$R$38, MATCH(A68, 'Dados Consolidados'!$A$2:$A$38, 0)))</f>
        <v>#N/A</v>
      </c>
      <c r="Z68" s="25" t="e">
        <f>INT(INDEX('Dados Consolidados'!$S$2:$S$38, MATCH(B68, 'Dados Consolidados'!$B$2:$B$38, 0)))</f>
        <v>#N/A</v>
      </c>
      <c r="AA68" s="25" t="e">
        <f>INT(INDEX('Dados Consolidados'!$T$2:$T$38, MATCH(E68, 'Dados Consolidados'!$E$2:$E$38, 0)))</f>
        <v>#N/A</v>
      </c>
      <c r="AB68" s="25" t="e">
        <f>INT(INDEX('Dados Consolidados'!$U$2:$U$38, MATCH(H68, 'Dados Consolidados'!$H$2:$H$38, 0)))</f>
        <v>#N/A</v>
      </c>
      <c r="AC68" s="25" t="e">
        <f>INT(INDEX('Dados Consolidados'!$V$2:$V$38, MATCH(J68, 'Dados Consolidados'!$J$2:$J$38, 0)))</f>
        <v>#N/A</v>
      </c>
      <c r="AD68" s="25" t="e">
        <f>INT(INDEX('Dados Consolidados'!$W$2:$W$38, MATCH(P68, 'Dados Consolidados'!$P$2:$P$38, 0)))</f>
        <v>#N/A</v>
      </c>
    </row>
    <row r="69" spans="1:30" ht="20.100000000000001" customHeight="1" x14ac:dyDescent="0.25">
      <c r="A69" s="24"/>
      <c r="B69" s="24"/>
      <c r="E69" s="17"/>
      <c r="F69" s="17"/>
      <c r="G69" s="17"/>
      <c r="H69" s="17"/>
      <c r="I69" s="42"/>
      <c r="J69" s="42"/>
      <c r="K69" s="17"/>
      <c r="L69" s="17"/>
      <c r="M69" s="18"/>
      <c r="N69" s="19"/>
      <c r="O69" s="19"/>
      <c r="P69" s="17"/>
      <c r="Y69" s="25" t="e">
        <f>INT(INDEX('Dados Consolidados'!$R$2:$R$38, MATCH(A69, 'Dados Consolidados'!$A$2:$A$38, 0)))</f>
        <v>#N/A</v>
      </c>
      <c r="Z69" s="25" t="e">
        <f>INT(INDEX('Dados Consolidados'!$S$2:$S$38, MATCH(B69, 'Dados Consolidados'!$B$2:$B$38, 0)))</f>
        <v>#N/A</v>
      </c>
      <c r="AA69" s="25" t="e">
        <f>INT(INDEX('Dados Consolidados'!$T$2:$T$38, MATCH(E69, 'Dados Consolidados'!$E$2:$E$38, 0)))</f>
        <v>#N/A</v>
      </c>
      <c r="AB69" s="25" t="e">
        <f>INT(INDEX('Dados Consolidados'!$U$2:$U$38, MATCH(H69, 'Dados Consolidados'!$H$2:$H$38, 0)))</f>
        <v>#N/A</v>
      </c>
      <c r="AC69" s="25" t="e">
        <f>INT(INDEX('Dados Consolidados'!$V$2:$V$38, MATCH(J69, 'Dados Consolidados'!$J$2:$J$38, 0)))</f>
        <v>#N/A</v>
      </c>
      <c r="AD69" s="25" t="e">
        <f>INT(INDEX('Dados Consolidados'!$W$2:$W$38, MATCH(P69, 'Dados Consolidados'!$P$2:$P$38, 0)))</f>
        <v>#N/A</v>
      </c>
    </row>
    <row r="70" spans="1:30" ht="20.100000000000001" customHeight="1" x14ac:dyDescent="0.25">
      <c r="A70" s="24"/>
      <c r="B70" s="24"/>
      <c r="E70" s="17"/>
      <c r="F70" s="17"/>
      <c r="G70" s="17"/>
      <c r="H70" s="17"/>
      <c r="I70" s="42"/>
      <c r="J70" s="42"/>
      <c r="K70" s="17"/>
      <c r="L70" s="17"/>
      <c r="M70" s="18"/>
      <c r="N70" s="19"/>
      <c r="O70" s="19"/>
      <c r="P70" s="17"/>
      <c r="Y70" s="25" t="e">
        <f>INT(INDEX('Dados Consolidados'!$R$2:$R$38, MATCH(A70, 'Dados Consolidados'!$A$2:$A$38, 0)))</f>
        <v>#N/A</v>
      </c>
      <c r="Z70" s="25" t="e">
        <f>INT(INDEX('Dados Consolidados'!$S$2:$S$38, MATCH(B70, 'Dados Consolidados'!$B$2:$B$38, 0)))</f>
        <v>#N/A</v>
      </c>
      <c r="AA70" s="25" t="e">
        <f>INT(INDEX('Dados Consolidados'!$T$2:$T$38, MATCH(E70, 'Dados Consolidados'!$E$2:$E$38, 0)))</f>
        <v>#N/A</v>
      </c>
      <c r="AB70" s="25" t="e">
        <f>INT(INDEX('Dados Consolidados'!$U$2:$U$38, MATCH(H70, 'Dados Consolidados'!$H$2:$H$38, 0)))</f>
        <v>#N/A</v>
      </c>
      <c r="AC70" s="25" t="e">
        <f>INT(INDEX('Dados Consolidados'!$V$2:$V$38, MATCH(J70, 'Dados Consolidados'!$J$2:$J$38, 0)))</f>
        <v>#N/A</v>
      </c>
      <c r="AD70" s="25" t="e">
        <f>INT(INDEX('Dados Consolidados'!$W$2:$W$38, MATCH(P70, 'Dados Consolidados'!$P$2:$P$38, 0)))</f>
        <v>#N/A</v>
      </c>
    </row>
    <row r="71" spans="1:30" ht="20.100000000000001" customHeight="1" x14ac:dyDescent="0.25">
      <c r="A71" s="24"/>
      <c r="B71" s="24"/>
      <c r="E71" s="17"/>
      <c r="F71" s="17"/>
      <c r="G71" s="17"/>
      <c r="H71" s="17"/>
      <c r="I71" s="42"/>
      <c r="J71" s="42"/>
      <c r="K71" s="17"/>
      <c r="L71" s="17"/>
      <c r="M71" s="18"/>
      <c r="N71" s="19"/>
      <c r="O71" s="19"/>
      <c r="P71" s="17"/>
      <c r="Y71" s="25" t="e">
        <f>INT(INDEX('Dados Consolidados'!$R$2:$R$38, MATCH(A71, 'Dados Consolidados'!$A$2:$A$38, 0)))</f>
        <v>#N/A</v>
      </c>
      <c r="Z71" s="25" t="e">
        <f>INT(INDEX('Dados Consolidados'!$S$2:$S$38, MATCH(B71, 'Dados Consolidados'!$B$2:$B$38, 0)))</f>
        <v>#N/A</v>
      </c>
      <c r="AA71" s="25" t="e">
        <f>INT(INDEX('Dados Consolidados'!$T$2:$T$38, MATCH(E71, 'Dados Consolidados'!$E$2:$E$38, 0)))</f>
        <v>#N/A</v>
      </c>
      <c r="AB71" s="25" t="e">
        <f>INT(INDEX('Dados Consolidados'!$U$2:$U$38, MATCH(H71, 'Dados Consolidados'!$H$2:$H$38, 0)))</f>
        <v>#N/A</v>
      </c>
      <c r="AC71" s="25" t="e">
        <f>INT(INDEX('Dados Consolidados'!$V$2:$V$38, MATCH(J71, 'Dados Consolidados'!$J$2:$J$38, 0)))</f>
        <v>#N/A</v>
      </c>
      <c r="AD71" s="25" t="e">
        <f>INT(INDEX('Dados Consolidados'!$W$2:$W$38, MATCH(P71, 'Dados Consolidados'!$P$2:$P$38, 0)))</f>
        <v>#N/A</v>
      </c>
    </row>
    <row r="72" spans="1:30" ht="20.100000000000001" customHeight="1" x14ac:dyDescent="0.25">
      <c r="A72" s="24"/>
      <c r="B72" s="24"/>
      <c r="E72" s="17"/>
      <c r="F72" s="17"/>
      <c r="G72" s="17"/>
      <c r="H72" s="17"/>
      <c r="I72" s="42"/>
      <c r="J72" s="42"/>
      <c r="K72" s="17"/>
      <c r="L72" s="17"/>
      <c r="M72" s="18"/>
      <c r="N72" s="19"/>
      <c r="O72" s="19"/>
      <c r="P72" s="17"/>
      <c r="Y72" s="25" t="e">
        <f>INT(INDEX('Dados Consolidados'!$R$2:$R$38, MATCH(A72, 'Dados Consolidados'!$A$2:$A$38, 0)))</f>
        <v>#N/A</v>
      </c>
      <c r="Z72" s="25" t="e">
        <f>INT(INDEX('Dados Consolidados'!$S$2:$S$38, MATCH(B72, 'Dados Consolidados'!$B$2:$B$38, 0)))</f>
        <v>#N/A</v>
      </c>
      <c r="AA72" s="25" t="e">
        <f>INT(INDEX('Dados Consolidados'!$T$2:$T$38, MATCH(E72, 'Dados Consolidados'!$E$2:$E$38, 0)))</f>
        <v>#N/A</v>
      </c>
      <c r="AB72" s="25" t="e">
        <f>INT(INDEX('Dados Consolidados'!$U$2:$U$38, MATCH(H72, 'Dados Consolidados'!$H$2:$H$38, 0)))</f>
        <v>#N/A</v>
      </c>
      <c r="AC72" s="25" t="e">
        <f>INT(INDEX('Dados Consolidados'!$V$2:$V$38, MATCH(J72, 'Dados Consolidados'!$J$2:$J$38, 0)))</f>
        <v>#N/A</v>
      </c>
      <c r="AD72" s="25" t="e">
        <f>INT(INDEX('Dados Consolidados'!$W$2:$W$38, MATCH(P72, 'Dados Consolidados'!$P$2:$P$38, 0)))</f>
        <v>#N/A</v>
      </c>
    </row>
    <row r="73" spans="1:30" ht="20.100000000000001" customHeight="1" x14ac:dyDescent="0.25">
      <c r="A73" s="24"/>
      <c r="B73" s="24"/>
      <c r="E73" s="17"/>
      <c r="F73" s="17"/>
      <c r="G73" s="17"/>
      <c r="H73" s="17"/>
      <c r="I73" s="42"/>
      <c r="J73" s="42"/>
      <c r="K73" s="17"/>
      <c r="L73" s="17"/>
      <c r="M73" s="18"/>
      <c r="N73" s="19"/>
      <c r="O73" s="19"/>
      <c r="P73" s="17"/>
      <c r="Y73" s="25" t="e">
        <f>INT(INDEX('Dados Consolidados'!$R$2:$R$38, MATCH(A73, 'Dados Consolidados'!$A$2:$A$38, 0)))</f>
        <v>#N/A</v>
      </c>
      <c r="Z73" s="25" t="e">
        <f>INT(INDEX('Dados Consolidados'!$S$2:$S$38, MATCH(B73, 'Dados Consolidados'!$B$2:$B$38, 0)))</f>
        <v>#N/A</v>
      </c>
      <c r="AA73" s="25" t="e">
        <f>INT(INDEX('Dados Consolidados'!$T$2:$T$38, MATCH(E73, 'Dados Consolidados'!$E$2:$E$38, 0)))</f>
        <v>#N/A</v>
      </c>
      <c r="AB73" s="25" t="e">
        <f>INT(INDEX('Dados Consolidados'!$U$2:$U$38, MATCH(H73, 'Dados Consolidados'!$H$2:$H$38, 0)))</f>
        <v>#N/A</v>
      </c>
      <c r="AC73" s="25" t="e">
        <f>INT(INDEX('Dados Consolidados'!$V$2:$V$38, MATCH(J73, 'Dados Consolidados'!$J$2:$J$38, 0)))</f>
        <v>#N/A</v>
      </c>
      <c r="AD73" s="25" t="e">
        <f>INT(INDEX('Dados Consolidados'!$W$2:$W$38, MATCH(P73, 'Dados Consolidados'!$P$2:$P$38, 0)))</f>
        <v>#N/A</v>
      </c>
    </row>
    <row r="74" spans="1:30" ht="20.100000000000001" customHeight="1" x14ac:dyDescent="0.25">
      <c r="A74" s="24"/>
      <c r="B74" s="24"/>
      <c r="E74" s="17"/>
      <c r="F74" s="17"/>
      <c r="G74" s="17"/>
      <c r="H74" s="17"/>
      <c r="I74" s="42"/>
      <c r="J74" s="42"/>
      <c r="K74" s="17"/>
      <c r="L74" s="17"/>
      <c r="M74" s="18"/>
      <c r="N74" s="19"/>
      <c r="O74" s="19"/>
      <c r="P74" s="17"/>
      <c r="Y74" s="25" t="e">
        <f>INT(INDEX('Dados Consolidados'!$R$2:$R$38, MATCH(A74, 'Dados Consolidados'!$A$2:$A$38, 0)))</f>
        <v>#N/A</v>
      </c>
      <c r="Z74" s="25" t="e">
        <f>INT(INDEX('Dados Consolidados'!$S$2:$S$38, MATCH(B74, 'Dados Consolidados'!$B$2:$B$38, 0)))</f>
        <v>#N/A</v>
      </c>
      <c r="AA74" s="25" t="e">
        <f>INT(INDEX('Dados Consolidados'!$T$2:$T$38, MATCH(E74, 'Dados Consolidados'!$E$2:$E$38, 0)))</f>
        <v>#N/A</v>
      </c>
      <c r="AB74" s="25" t="e">
        <f>INT(INDEX('Dados Consolidados'!$U$2:$U$38, MATCH(H74, 'Dados Consolidados'!$H$2:$H$38, 0)))</f>
        <v>#N/A</v>
      </c>
      <c r="AC74" s="25" t="e">
        <f>INT(INDEX('Dados Consolidados'!$V$2:$V$38, MATCH(J74, 'Dados Consolidados'!$J$2:$J$38, 0)))</f>
        <v>#N/A</v>
      </c>
      <c r="AD74" s="25" t="e">
        <f>INT(INDEX('Dados Consolidados'!$W$2:$W$38, MATCH(P74, 'Dados Consolidados'!$P$2:$P$38, 0)))</f>
        <v>#N/A</v>
      </c>
    </row>
    <row r="75" spans="1:30" ht="20.100000000000001" customHeight="1" x14ac:dyDescent="0.25">
      <c r="A75" s="24"/>
      <c r="B75" s="24"/>
      <c r="E75" s="17"/>
      <c r="F75" s="17"/>
      <c r="G75" s="17"/>
      <c r="H75" s="17"/>
      <c r="I75" s="42"/>
      <c r="J75" s="42"/>
      <c r="K75" s="17"/>
      <c r="L75" s="17"/>
      <c r="M75" s="18"/>
      <c r="N75" s="19"/>
      <c r="O75" s="19"/>
      <c r="P75" s="17"/>
      <c r="Y75" s="25" t="e">
        <f>INT(INDEX('Dados Consolidados'!$R$2:$R$38, MATCH(A75, 'Dados Consolidados'!$A$2:$A$38, 0)))</f>
        <v>#N/A</v>
      </c>
      <c r="Z75" s="25" t="e">
        <f>INT(INDEX('Dados Consolidados'!$S$2:$S$38, MATCH(B75, 'Dados Consolidados'!$B$2:$B$38, 0)))</f>
        <v>#N/A</v>
      </c>
      <c r="AA75" s="25" t="e">
        <f>INT(INDEX('Dados Consolidados'!$T$2:$T$38, MATCH(E75, 'Dados Consolidados'!$E$2:$E$38, 0)))</f>
        <v>#N/A</v>
      </c>
      <c r="AB75" s="25" t="e">
        <f>INT(INDEX('Dados Consolidados'!$U$2:$U$38, MATCH(H75, 'Dados Consolidados'!$H$2:$H$38, 0)))</f>
        <v>#N/A</v>
      </c>
      <c r="AC75" s="25" t="e">
        <f>INT(INDEX('Dados Consolidados'!$V$2:$V$38, MATCH(J75, 'Dados Consolidados'!$J$2:$J$38, 0)))</f>
        <v>#N/A</v>
      </c>
      <c r="AD75" s="25" t="e">
        <f>INT(INDEX('Dados Consolidados'!$W$2:$W$38, MATCH(P75, 'Dados Consolidados'!$P$2:$P$38, 0)))</f>
        <v>#N/A</v>
      </c>
    </row>
    <row r="76" spans="1:30" ht="20.100000000000001" customHeight="1" x14ac:dyDescent="0.25">
      <c r="A76" s="24"/>
      <c r="B76" s="24"/>
      <c r="E76" s="17"/>
      <c r="F76" s="17"/>
      <c r="G76" s="17"/>
      <c r="H76" s="17"/>
      <c r="I76" s="42"/>
      <c r="J76" s="42"/>
      <c r="K76" s="17"/>
      <c r="L76" s="17"/>
      <c r="M76" s="18"/>
      <c r="N76" s="19"/>
      <c r="O76" s="19"/>
      <c r="P76" s="17"/>
      <c r="Y76" s="25" t="e">
        <f>INT(INDEX('Dados Consolidados'!$R$2:$R$38, MATCH(A76, 'Dados Consolidados'!$A$2:$A$38, 0)))</f>
        <v>#N/A</v>
      </c>
      <c r="Z76" s="25" t="e">
        <f>INT(INDEX('Dados Consolidados'!$S$2:$S$38, MATCH(B76, 'Dados Consolidados'!$B$2:$B$38, 0)))</f>
        <v>#N/A</v>
      </c>
      <c r="AA76" s="25" t="e">
        <f>INT(INDEX('Dados Consolidados'!$T$2:$T$38, MATCH(E76, 'Dados Consolidados'!$E$2:$E$38, 0)))</f>
        <v>#N/A</v>
      </c>
      <c r="AB76" s="25" t="e">
        <f>INT(INDEX('Dados Consolidados'!$U$2:$U$38, MATCH(H76, 'Dados Consolidados'!$H$2:$H$38, 0)))</f>
        <v>#N/A</v>
      </c>
      <c r="AC76" s="25" t="e">
        <f>INT(INDEX('Dados Consolidados'!$V$2:$V$38, MATCH(J76, 'Dados Consolidados'!$J$2:$J$38, 0)))</f>
        <v>#N/A</v>
      </c>
      <c r="AD76" s="25" t="e">
        <f>INT(INDEX('Dados Consolidados'!$W$2:$W$38, MATCH(P76, 'Dados Consolidados'!$P$2:$P$38, 0)))</f>
        <v>#N/A</v>
      </c>
    </row>
    <row r="77" spans="1:30" ht="20.100000000000001" customHeight="1" x14ac:dyDescent="0.25">
      <c r="A77" s="24"/>
      <c r="B77" s="24"/>
      <c r="E77" s="17"/>
      <c r="F77" s="17"/>
      <c r="G77" s="17"/>
      <c r="H77" s="17"/>
      <c r="I77" s="42"/>
      <c r="J77" s="42"/>
      <c r="K77" s="17"/>
      <c r="L77" s="17"/>
      <c r="M77" s="18"/>
      <c r="N77" s="19"/>
      <c r="O77" s="19"/>
      <c r="P77" s="17"/>
      <c r="Y77" s="25" t="e">
        <f>INT(INDEX('Dados Consolidados'!$R$2:$R$38, MATCH(A77, 'Dados Consolidados'!$A$2:$A$38, 0)))</f>
        <v>#N/A</v>
      </c>
      <c r="Z77" s="25" t="e">
        <f>INT(INDEX('Dados Consolidados'!$S$2:$S$38, MATCH(B77, 'Dados Consolidados'!$B$2:$B$38, 0)))</f>
        <v>#N/A</v>
      </c>
      <c r="AA77" s="25" t="e">
        <f>INT(INDEX('Dados Consolidados'!$T$2:$T$38, MATCH(E77, 'Dados Consolidados'!$E$2:$E$38, 0)))</f>
        <v>#N/A</v>
      </c>
      <c r="AB77" s="25" t="e">
        <f>INT(INDEX('Dados Consolidados'!$U$2:$U$38, MATCH(H77, 'Dados Consolidados'!$H$2:$H$38, 0)))</f>
        <v>#N/A</v>
      </c>
      <c r="AC77" s="25" t="e">
        <f>INT(INDEX('Dados Consolidados'!$V$2:$V$38, MATCH(J77, 'Dados Consolidados'!$J$2:$J$38, 0)))</f>
        <v>#N/A</v>
      </c>
      <c r="AD77" s="25" t="e">
        <f>INT(INDEX('Dados Consolidados'!$W$2:$W$38, MATCH(P77, 'Dados Consolidados'!$P$2:$P$38, 0)))</f>
        <v>#N/A</v>
      </c>
    </row>
    <row r="78" spans="1:30" ht="20.100000000000001" customHeight="1" x14ac:dyDescent="0.25">
      <c r="A78" s="24"/>
      <c r="B78" s="24"/>
      <c r="E78" s="17"/>
      <c r="F78" s="17"/>
      <c r="G78" s="17"/>
      <c r="H78" s="17"/>
      <c r="I78" s="42"/>
      <c r="J78" s="42"/>
      <c r="K78" s="17"/>
      <c r="L78" s="17"/>
      <c r="M78" s="18"/>
      <c r="N78" s="19"/>
      <c r="O78" s="19"/>
      <c r="P78" s="17"/>
      <c r="Y78" s="25" t="e">
        <f>INT(INDEX('Dados Consolidados'!$R$2:$R$38, MATCH(A78, 'Dados Consolidados'!$A$2:$A$38, 0)))</f>
        <v>#N/A</v>
      </c>
      <c r="Z78" s="25" t="e">
        <f>INT(INDEX('Dados Consolidados'!$S$2:$S$38, MATCH(B78, 'Dados Consolidados'!$B$2:$B$38, 0)))</f>
        <v>#N/A</v>
      </c>
      <c r="AA78" s="25" t="e">
        <f>INT(INDEX('Dados Consolidados'!$T$2:$T$38, MATCH(E78, 'Dados Consolidados'!$E$2:$E$38, 0)))</f>
        <v>#N/A</v>
      </c>
      <c r="AB78" s="25" t="e">
        <f>INT(INDEX('Dados Consolidados'!$U$2:$U$38, MATCH(H78, 'Dados Consolidados'!$H$2:$H$38, 0)))</f>
        <v>#N/A</v>
      </c>
      <c r="AC78" s="25" t="e">
        <f>INT(INDEX('Dados Consolidados'!$V$2:$V$38, MATCH(J78, 'Dados Consolidados'!$J$2:$J$38, 0)))</f>
        <v>#N/A</v>
      </c>
      <c r="AD78" s="25" t="e">
        <f>INT(INDEX('Dados Consolidados'!$W$2:$W$38, MATCH(P78, 'Dados Consolidados'!$P$2:$P$38, 0)))</f>
        <v>#N/A</v>
      </c>
    </row>
    <row r="79" spans="1:30" ht="20.100000000000001" customHeight="1" x14ac:dyDescent="0.25">
      <c r="A79" s="24"/>
      <c r="B79" s="24"/>
      <c r="E79" s="17"/>
      <c r="F79" s="17"/>
      <c r="G79" s="17"/>
      <c r="H79" s="17"/>
      <c r="I79" s="42"/>
      <c r="J79" s="42"/>
      <c r="K79" s="17"/>
      <c r="L79" s="17"/>
      <c r="M79" s="18"/>
      <c r="N79" s="19"/>
      <c r="O79" s="19"/>
      <c r="P79" s="17"/>
      <c r="Y79" s="25" t="e">
        <f>INT(INDEX('Dados Consolidados'!$R$2:$R$38, MATCH(A79, 'Dados Consolidados'!$A$2:$A$38, 0)))</f>
        <v>#N/A</v>
      </c>
      <c r="Z79" s="25" t="e">
        <f>INT(INDEX('Dados Consolidados'!$S$2:$S$38, MATCH(B79, 'Dados Consolidados'!$B$2:$B$38, 0)))</f>
        <v>#N/A</v>
      </c>
      <c r="AA79" s="25" t="e">
        <f>INT(INDEX('Dados Consolidados'!$T$2:$T$38, MATCH(E79, 'Dados Consolidados'!$E$2:$E$38, 0)))</f>
        <v>#N/A</v>
      </c>
      <c r="AB79" s="25" t="e">
        <f>INT(INDEX('Dados Consolidados'!$U$2:$U$38, MATCH(H79, 'Dados Consolidados'!$H$2:$H$38, 0)))</f>
        <v>#N/A</v>
      </c>
      <c r="AC79" s="25" t="e">
        <f>INT(INDEX('Dados Consolidados'!$V$2:$V$38, MATCH(J79, 'Dados Consolidados'!$J$2:$J$38, 0)))</f>
        <v>#N/A</v>
      </c>
      <c r="AD79" s="25" t="e">
        <f>INT(INDEX('Dados Consolidados'!$W$2:$W$38, MATCH(P79, 'Dados Consolidados'!$P$2:$P$38, 0)))</f>
        <v>#N/A</v>
      </c>
    </row>
    <row r="80" spans="1:30" ht="20.100000000000001" customHeight="1" x14ac:dyDescent="0.25">
      <c r="A80" s="24"/>
      <c r="B80" s="24"/>
      <c r="E80" s="17"/>
      <c r="F80" s="17"/>
      <c r="G80" s="17"/>
      <c r="H80" s="17"/>
      <c r="I80" s="42"/>
      <c r="J80" s="42"/>
      <c r="K80" s="17"/>
      <c r="L80" s="17"/>
      <c r="M80" s="18"/>
      <c r="N80" s="19"/>
      <c r="O80" s="19"/>
      <c r="P80" s="17"/>
      <c r="Y80" s="25" t="e">
        <f>INT(INDEX('Dados Consolidados'!$R$2:$R$38, MATCH(A80, 'Dados Consolidados'!$A$2:$A$38, 0)))</f>
        <v>#N/A</v>
      </c>
      <c r="Z80" s="25" t="e">
        <f>INT(INDEX('Dados Consolidados'!$S$2:$S$38, MATCH(B80, 'Dados Consolidados'!$B$2:$B$38, 0)))</f>
        <v>#N/A</v>
      </c>
      <c r="AA80" s="25" t="e">
        <f>INT(INDEX('Dados Consolidados'!$T$2:$T$38, MATCH(E80, 'Dados Consolidados'!$E$2:$E$38, 0)))</f>
        <v>#N/A</v>
      </c>
      <c r="AB80" s="25" t="e">
        <f>INT(INDEX('Dados Consolidados'!$U$2:$U$38, MATCH(H80, 'Dados Consolidados'!$H$2:$H$38, 0)))</f>
        <v>#N/A</v>
      </c>
      <c r="AC80" s="25" t="e">
        <f>INT(INDEX('Dados Consolidados'!$V$2:$V$38, MATCH(J80, 'Dados Consolidados'!$J$2:$J$38, 0)))</f>
        <v>#N/A</v>
      </c>
      <c r="AD80" s="25" t="e">
        <f>INT(INDEX('Dados Consolidados'!$W$2:$W$38, MATCH(P80, 'Dados Consolidados'!$P$2:$P$38, 0)))</f>
        <v>#N/A</v>
      </c>
    </row>
    <row r="81" spans="1:30" ht="20.100000000000001" customHeight="1" x14ac:dyDescent="0.25">
      <c r="A81" s="24"/>
      <c r="B81" s="24"/>
      <c r="E81" s="17"/>
      <c r="F81" s="17"/>
      <c r="G81" s="17"/>
      <c r="H81" s="17"/>
      <c r="I81" s="42"/>
      <c r="J81" s="42"/>
      <c r="K81" s="17"/>
      <c r="L81" s="17"/>
      <c r="M81" s="18"/>
      <c r="N81" s="19"/>
      <c r="O81" s="19"/>
      <c r="P81" s="17"/>
      <c r="Y81" s="25" t="e">
        <f>INT(INDEX('Dados Consolidados'!$R$2:$R$38, MATCH(A81, 'Dados Consolidados'!$A$2:$A$38, 0)))</f>
        <v>#N/A</v>
      </c>
      <c r="Z81" s="25" t="e">
        <f>INT(INDEX('Dados Consolidados'!$S$2:$S$38, MATCH(B81, 'Dados Consolidados'!$B$2:$B$38, 0)))</f>
        <v>#N/A</v>
      </c>
      <c r="AA81" s="25" t="e">
        <f>INT(INDEX('Dados Consolidados'!$T$2:$T$38, MATCH(E81, 'Dados Consolidados'!$E$2:$E$38, 0)))</f>
        <v>#N/A</v>
      </c>
      <c r="AB81" s="25" t="e">
        <f>INT(INDEX('Dados Consolidados'!$U$2:$U$38, MATCH(H81, 'Dados Consolidados'!$H$2:$H$38, 0)))</f>
        <v>#N/A</v>
      </c>
      <c r="AC81" s="25" t="e">
        <f>INT(INDEX('Dados Consolidados'!$V$2:$V$38, MATCH(J81, 'Dados Consolidados'!$J$2:$J$38, 0)))</f>
        <v>#N/A</v>
      </c>
      <c r="AD81" s="25" t="e">
        <f>INT(INDEX('Dados Consolidados'!$W$2:$W$38, MATCH(P81, 'Dados Consolidados'!$P$2:$P$38, 0)))</f>
        <v>#N/A</v>
      </c>
    </row>
    <row r="82" spans="1:30" ht="20.100000000000001" customHeight="1" x14ac:dyDescent="0.25">
      <c r="A82" s="24"/>
      <c r="B82" s="24"/>
      <c r="E82" s="17"/>
      <c r="F82" s="17"/>
      <c r="G82" s="17"/>
      <c r="H82" s="17"/>
      <c r="I82" s="42"/>
      <c r="J82" s="42"/>
      <c r="K82" s="17"/>
      <c r="L82" s="17"/>
      <c r="M82" s="18"/>
      <c r="N82" s="19"/>
      <c r="O82" s="19"/>
      <c r="P82" s="17"/>
      <c r="Y82" s="25" t="e">
        <f>INT(INDEX('Dados Consolidados'!$R$2:$R$38, MATCH(A82, 'Dados Consolidados'!$A$2:$A$38, 0)))</f>
        <v>#N/A</v>
      </c>
      <c r="Z82" s="25" t="e">
        <f>INT(INDEX('Dados Consolidados'!$S$2:$S$38, MATCH(B82, 'Dados Consolidados'!$B$2:$B$38, 0)))</f>
        <v>#N/A</v>
      </c>
      <c r="AA82" s="25" t="e">
        <f>INT(INDEX('Dados Consolidados'!$T$2:$T$38, MATCH(E82, 'Dados Consolidados'!$E$2:$E$38, 0)))</f>
        <v>#N/A</v>
      </c>
      <c r="AB82" s="25" t="e">
        <f>INT(INDEX('Dados Consolidados'!$U$2:$U$38, MATCH(H82, 'Dados Consolidados'!$H$2:$H$38, 0)))</f>
        <v>#N/A</v>
      </c>
      <c r="AC82" s="25" t="e">
        <f>INT(INDEX('Dados Consolidados'!$V$2:$V$38, MATCH(J82, 'Dados Consolidados'!$J$2:$J$38, 0)))</f>
        <v>#N/A</v>
      </c>
      <c r="AD82" s="25" t="e">
        <f>INT(INDEX('Dados Consolidados'!$W$2:$W$38, MATCH(P82, 'Dados Consolidados'!$P$2:$P$38, 0)))</f>
        <v>#N/A</v>
      </c>
    </row>
    <row r="83" spans="1:30" ht="20.100000000000001" customHeight="1" x14ac:dyDescent="0.25">
      <c r="A83" s="24"/>
      <c r="B83" s="24"/>
      <c r="E83" s="17"/>
      <c r="F83" s="17"/>
      <c r="G83" s="17"/>
      <c r="H83" s="17"/>
      <c r="I83" s="42"/>
      <c r="J83" s="42"/>
      <c r="K83" s="17"/>
      <c r="L83" s="17"/>
      <c r="M83" s="18"/>
      <c r="N83" s="19"/>
      <c r="O83" s="19"/>
      <c r="P83" s="17"/>
      <c r="Y83" s="25" t="e">
        <f>INT(INDEX('Dados Consolidados'!$R$2:$R$38, MATCH(A83, 'Dados Consolidados'!$A$2:$A$38, 0)))</f>
        <v>#N/A</v>
      </c>
      <c r="Z83" s="25" t="e">
        <f>INT(INDEX('Dados Consolidados'!$S$2:$S$38, MATCH(B83, 'Dados Consolidados'!$B$2:$B$38, 0)))</f>
        <v>#N/A</v>
      </c>
      <c r="AA83" s="25" t="e">
        <f>INT(INDEX('Dados Consolidados'!$T$2:$T$38, MATCH(E83, 'Dados Consolidados'!$E$2:$E$38, 0)))</f>
        <v>#N/A</v>
      </c>
      <c r="AB83" s="25" t="e">
        <f>INT(INDEX('Dados Consolidados'!$U$2:$U$38, MATCH(H83, 'Dados Consolidados'!$H$2:$H$38, 0)))</f>
        <v>#N/A</v>
      </c>
      <c r="AC83" s="25" t="e">
        <f>INT(INDEX('Dados Consolidados'!$V$2:$V$38, MATCH(J83, 'Dados Consolidados'!$J$2:$J$38, 0)))</f>
        <v>#N/A</v>
      </c>
      <c r="AD83" s="25" t="e">
        <f>INT(INDEX('Dados Consolidados'!$W$2:$W$38, MATCH(P83, 'Dados Consolidados'!$P$2:$P$38, 0)))</f>
        <v>#N/A</v>
      </c>
    </row>
    <row r="84" spans="1:30" ht="20.100000000000001" customHeight="1" x14ac:dyDescent="0.25">
      <c r="A84" s="24"/>
      <c r="B84" s="24"/>
      <c r="E84" s="17"/>
      <c r="F84" s="17"/>
      <c r="G84" s="17"/>
      <c r="H84" s="17"/>
      <c r="I84" s="42"/>
      <c r="J84" s="42"/>
      <c r="K84" s="17"/>
      <c r="L84" s="17"/>
      <c r="M84" s="18"/>
      <c r="N84" s="19"/>
      <c r="O84" s="19"/>
      <c r="P84" s="17"/>
      <c r="Y84" s="25" t="e">
        <f>INT(INDEX('Dados Consolidados'!$R$2:$R$38, MATCH(A84, 'Dados Consolidados'!$A$2:$A$38, 0)))</f>
        <v>#N/A</v>
      </c>
      <c r="Z84" s="25" t="e">
        <f>INT(INDEX('Dados Consolidados'!$S$2:$S$38, MATCH(B84, 'Dados Consolidados'!$B$2:$B$38, 0)))</f>
        <v>#N/A</v>
      </c>
      <c r="AA84" s="25" t="e">
        <f>INT(INDEX('Dados Consolidados'!$T$2:$T$38, MATCH(E84, 'Dados Consolidados'!$E$2:$E$38, 0)))</f>
        <v>#N/A</v>
      </c>
      <c r="AB84" s="25" t="e">
        <f>INT(INDEX('Dados Consolidados'!$U$2:$U$38, MATCH(H84, 'Dados Consolidados'!$H$2:$H$38, 0)))</f>
        <v>#N/A</v>
      </c>
      <c r="AC84" s="25" t="e">
        <f>INT(INDEX('Dados Consolidados'!$V$2:$V$38, MATCH(J84, 'Dados Consolidados'!$J$2:$J$38, 0)))</f>
        <v>#N/A</v>
      </c>
      <c r="AD84" s="25" t="e">
        <f>INT(INDEX('Dados Consolidados'!$W$2:$W$38, MATCH(P84, 'Dados Consolidados'!$P$2:$P$38, 0)))</f>
        <v>#N/A</v>
      </c>
    </row>
    <row r="85" spans="1:30" ht="20.100000000000001" customHeight="1" x14ac:dyDescent="0.25">
      <c r="A85" s="24"/>
      <c r="B85" s="24"/>
      <c r="E85" s="17"/>
      <c r="F85" s="17"/>
      <c r="G85" s="17"/>
      <c r="H85" s="17"/>
      <c r="I85" s="42"/>
      <c r="J85" s="42"/>
      <c r="K85" s="17"/>
      <c r="L85" s="17"/>
      <c r="M85" s="18"/>
      <c r="N85" s="19"/>
      <c r="O85" s="19"/>
      <c r="P85" s="17"/>
      <c r="Y85" s="25" t="e">
        <f>INT(INDEX('Dados Consolidados'!$R$2:$R$38, MATCH(A85, 'Dados Consolidados'!$A$2:$A$38, 0)))</f>
        <v>#N/A</v>
      </c>
      <c r="Z85" s="25" t="e">
        <f>INT(INDEX('Dados Consolidados'!$S$2:$S$38, MATCH(B85, 'Dados Consolidados'!$B$2:$B$38, 0)))</f>
        <v>#N/A</v>
      </c>
      <c r="AA85" s="25" t="e">
        <f>INT(INDEX('Dados Consolidados'!$T$2:$T$38, MATCH(E85, 'Dados Consolidados'!$E$2:$E$38, 0)))</f>
        <v>#N/A</v>
      </c>
      <c r="AB85" s="25" t="e">
        <f>INT(INDEX('Dados Consolidados'!$U$2:$U$38, MATCH(H85, 'Dados Consolidados'!$H$2:$H$38, 0)))</f>
        <v>#N/A</v>
      </c>
      <c r="AC85" s="25" t="e">
        <f>INT(INDEX('Dados Consolidados'!$V$2:$V$38, MATCH(J85, 'Dados Consolidados'!$J$2:$J$38, 0)))</f>
        <v>#N/A</v>
      </c>
      <c r="AD85" s="25" t="e">
        <f>INT(INDEX('Dados Consolidados'!$W$2:$W$38, MATCH(P85, 'Dados Consolidados'!$P$2:$P$38, 0)))</f>
        <v>#N/A</v>
      </c>
    </row>
    <row r="86" spans="1:30" ht="20.100000000000001" customHeight="1" x14ac:dyDescent="0.25">
      <c r="A86" s="24"/>
      <c r="B86" s="24"/>
      <c r="E86" s="17"/>
      <c r="F86" s="17"/>
      <c r="G86" s="17"/>
      <c r="H86" s="17"/>
      <c r="I86" s="42"/>
      <c r="J86" s="42"/>
      <c r="K86" s="17"/>
      <c r="L86" s="17"/>
      <c r="M86" s="18"/>
      <c r="N86" s="19"/>
      <c r="O86" s="19"/>
      <c r="P86" s="17"/>
      <c r="Y86" s="25" t="e">
        <f>INT(INDEX('Dados Consolidados'!$R$2:$R$38, MATCH(A86, 'Dados Consolidados'!$A$2:$A$38, 0)))</f>
        <v>#N/A</v>
      </c>
      <c r="Z86" s="25" t="e">
        <f>INT(INDEX('Dados Consolidados'!$S$2:$S$38, MATCH(B86, 'Dados Consolidados'!$B$2:$B$38, 0)))</f>
        <v>#N/A</v>
      </c>
      <c r="AA86" s="25" t="e">
        <f>INT(INDEX('Dados Consolidados'!$T$2:$T$38, MATCH(E86, 'Dados Consolidados'!$E$2:$E$38, 0)))</f>
        <v>#N/A</v>
      </c>
      <c r="AB86" s="25" t="e">
        <f>INT(INDEX('Dados Consolidados'!$U$2:$U$38, MATCH(H86, 'Dados Consolidados'!$H$2:$H$38, 0)))</f>
        <v>#N/A</v>
      </c>
      <c r="AC86" s="25" t="e">
        <f>INT(INDEX('Dados Consolidados'!$V$2:$V$38, MATCH(J86, 'Dados Consolidados'!$J$2:$J$38, 0)))</f>
        <v>#N/A</v>
      </c>
      <c r="AD86" s="25" t="e">
        <f>INT(INDEX('Dados Consolidados'!$W$2:$W$38, MATCH(P86, 'Dados Consolidados'!$P$2:$P$38, 0)))</f>
        <v>#N/A</v>
      </c>
    </row>
    <row r="87" spans="1:30" ht="20.100000000000001" customHeight="1" x14ac:dyDescent="0.25">
      <c r="A87" s="24"/>
      <c r="B87" s="24"/>
      <c r="E87" s="17"/>
      <c r="F87" s="17"/>
      <c r="G87" s="17"/>
      <c r="H87" s="17"/>
      <c r="I87" s="42"/>
      <c r="J87" s="42"/>
      <c r="K87" s="17"/>
      <c r="L87" s="17"/>
      <c r="M87" s="18"/>
      <c r="N87" s="19"/>
      <c r="O87" s="19"/>
      <c r="P87" s="17"/>
      <c r="Y87" s="25" t="e">
        <f>INT(INDEX('Dados Consolidados'!$R$2:$R$38, MATCH(A87, 'Dados Consolidados'!$A$2:$A$38, 0)))</f>
        <v>#N/A</v>
      </c>
      <c r="Z87" s="25" t="e">
        <f>INT(INDEX('Dados Consolidados'!$S$2:$S$38, MATCH(B87, 'Dados Consolidados'!$B$2:$B$38, 0)))</f>
        <v>#N/A</v>
      </c>
      <c r="AA87" s="25" t="e">
        <f>INT(INDEX('Dados Consolidados'!$T$2:$T$38, MATCH(E87, 'Dados Consolidados'!$E$2:$E$38, 0)))</f>
        <v>#N/A</v>
      </c>
      <c r="AB87" s="25" t="e">
        <f>INT(INDEX('Dados Consolidados'!$U$2:$U$38, MATCH(H87, 'Dados Consolidados'!$H$2:$H$38, 0)))</f>
        <v>#N/A</v>
      </c>
      <c r="AC87" s="25" t="e">
        <f>INT(INDEX('Dados Consolidados'!$V$2:$V$38, MATCH(J87, 'Dados Consolidados'!$J$2:$J$38, 0)))</f>
        <v>#N/A</v>
      </c>
      <c r="AD87" s="25" t="e">
        <f>INT(INDEX('Dados Consolidados'!$W$2:$W$38, MATCH(P87, 'Dados Consolidados'!$P$2:$P$38, 0)))</f>
        <v>#N/A</v>
      </c>
    </row>
    <row r="88" spans="1:30" ht="20.100000000000001" customHeight="1" x14ac:dyDescent="0.25">
      <c r="A88" s="24"/>
      <c r="B88" s="24"/>
      <c r="E88" s="17"/>
      <c r="F88" s="17"/>
      <c r="G88" s="17"/>
      <c r="H88" s="17"/>
      <c r="I88" s="42"/>
      <c r="J88" s="42"/>
      <c r="K88" s="17"/>
      <c r="L88" s="17"/>
      <c r="M88" s="18"/>
      <c r="N88" s="19"/>
      <c r="O88" s="19"/>
      <c r="P88" s="17"/>
      <c r="Y88" s="25" t="e">
        <f>INT(INDEX('Dados Consolidados'!$R$2:$R$38, MATCH(A88, 'Dados Consolidados'!$A$2:$A$38, 0)))</f>
        <v>#N/A</v>
      </c>
      <c r="Z88" s="25" t="e">
        <f>INT(INDEX('Dados Consolidados'!$S$2:$S$38, MATCH(B88, 'Dados Consolidados'!$B$2:$B$38, 0)))</f>
        <v>#N/A</v>
      </c>
      <c r="AA88" s="25" t="e">
        <f>INT(INDEX('Dados Consolidados'!$T$2:$T$38, MATCH(E88, 'Dados Consolidados'!$E$2:$E$38, 0)))</f>
        <v>#N/A</v>
      </c>
      <c r="AB88" s="25" t="e">
        <f>INT(INDEX('Dados Consolidados'!$U$2:$U$38, MATCH(H88, 'Dados Consolidados'!$H$2:$H$38, 0)))</f>
        <v>#N/A</v>
      </c>
      <c r="AC88" s="25" t="e">
        <f>INT(INDEX('Dados Consolidados'!$V$2:$V$38, MATCH(J88, 'Dados Consolidados'!$J$2:$J$38, 0)))</f>
        <v>#N/A</v>
      </c>
      <c r="AD88" s="25" t="e">
        <f>INT(INDEX('Dados Consolidados'!$W$2:$W$38, MATCH(P88, 'Dados Consolidados'!$P$2:$P$38, 0)))</f>
        <v>#N/A</v>
      </c>
    </row>
    <row r="89" spans="1:30" ht="20.100000000000001" customHeight="1" x14ac:dyDescent="0.25">
      <c r="A89" s="24"/>
      <c r="B89" s="24"/>
      <c r="E89" s="17"/>
      <c r="F89" s="17"/>
      <c r="G89" s="17"/>
      <c r="H89" s="17"/>
      <c r="I89" s="42"/>
      <c r="J89" s="42"/>
      <c r="K89" s="17"/>
      <c r="L89" s="17"/>
      <c r="M89" s="18"/>
      <c r="N89" s="19"/>
      <c r="O89" s="19"/>
      <c r="P89" s="17"/>
      <c r="Y89" s="25" t="e">
        <f>INT(INDEX('Dados Consolidados'!$R$2:$R$38, MATCH(A89, 'Dados Consolidados'!$A$2:$A$38, 0)))</f>
        <v>#N/A</v>
      </c>
      <c r="Z89" s="25" t="e">
        <f>INT(INDEX('Dados Consolidados'!$S$2:$S$38, MATCH(B89, 'Dados Consolidados'!$B$2:$B$38, 0)))</f>
        <v>#N/A</v>
      </c>
      <c r="AA89" s="25" t="e">
        <f>INT(INDEX('Dados Consolidados'!$T$2:$T$38, MATCH(E89, 'Dados Consolidados'!$E$2:$E$38, 0)))</f>
        <v>#N/A</v>
      </c>
      <c r="AB89" s="25" t="e">
        <f>INT(INDEX('Dados Consolidados'!$U$2:$U$38, MATCH(H89, 'Dados Consolidados'!$H$2:$H$38, 0)))</f>
        <v>#N/A</v>
      </c>
      <c r="AC89" s="25" t="e">
        <f>INT(INDEX('Dados Consolidados'!$V$2:$V$38, MATCH(J89, 'Dados Consolidados'!$J$2:$J$38, 0)))</f>
        <v>#N/A</v>
      </c>
      <c r="AD89" s="25" t="e">
        <f>INT(INDEX('Dados Consolidados'!$W$2:$W$38, MATCH(P89, 'Dados Consolidados'!$P$2:$P$38, 0)))</f>
        <v>#N/A</v>
      </c>
    </row>
    <row r="90" spans="1:30" ht="20.100000000000001" customHeight="1" x14ac:dyDescent="0.25">
      <c r="A90" s="24"/>
      <c r="B90" s="24"/>
      <c r="E90" s="17"/>
      <c r="F90" s="17"/>
      <c r="G90" s="17"/>
      <c r="H90" s="17"/>
      <c r="I90" s="42"/>
      <c r="J90" s="42"/>
      <c r="K90" s="17"/>
      <c r="L90" s="17"/>
      <c r="M90" s="18"/>
      <c r="N90" s="19"/>
      <c r="O90" s="19"/>
      <c r="P90" s="17"/>
      <c r="Y90" s="25" t="e">
        <f>INT(INDEX('Dados Consolidados'!$R$2:$R$38, MATCH(A90, 'Dados Consolidados'!$A$2:$A$38, 0)))</f>
        <v>#N/A</v>
      </c>
      <c r="Z90" s="25" t="e">
        <f>INT(INDEX('Dados Consolidados'!$S$2:$S$38, MATCH(B90, 'Dados Consolidados'!$B$2:$B$38, 0)))</f>
        <v>#N/A</v>
      </c>
      <c r="AA90" s="25" t="e">
        <f>INT(INDEX('Dados Consolidados'!$T$2:$T$38, MATCH(E90, 'Dados Consolidados'!$E$2:$E$38, 0)))</f>
        <v>#N/A</v>
      </c>
      <c r="AB90" s="25" t="e">
        <f>INT(INDEX('Dados Consolidados'!$U$2:$U$38, MATCH(H90, 'Dados Consolidados'!$H$2:$H$38, 0)))</f>
        <v>#N/A</v>
      </c>
      <c r="AC90" s="25" t="e">
        <f>INT(INDEX('Dados Consolidados'!$V$2:$V$38, MATCH(J90, 'Dados Consolidados'!$J$2:$J$38, 0)))</f>
        <v>#N/A</v>
      </c>
      <c r="AD90" s="25" t="e">
        <f>INT(INDEX('Dados Consolidados'!$W$2:$W$38, MATCH(P90, 'Dados Consolidados'!$P$2:$P$38, 0)))</f>
        <v>#N/A</v>
      </c>
    </row>
    <row r="91" spans="1:30" ht="20.100000000000001" customHeight="1" x14ac:dyDescent="0.25">
      <c r="A91" s="24"/>
      <c r="B91" s="24"/>
      <c r="E91" s="17"/>
      <c r="F91" s="17"/>
      <c r="G91" s="17"/>
      <c r="H91" s="17"/>
      <c r="I91" s="42"/>
      <c r="J91" s="42"/>
      <c r="K91" s="17"/>
      <c r="L91" s="17"/>
      <c r="M91" s="18"/>
      <c r="N91" s="19"/>
      <c r="O91" s="19"/>
      <c r="P91" s="17"/>
      <c r="Y91" s="25" t="e">
        <f>INT(INDEX('Dados Consolidados'!$R$2:$R$38, MATCH(A91, 'Dados Consolidados'!$A$2:$A$38, 0)))</f>
        <v>#N/A</v>
      </c>
      <c r="Z91" s="25" t="e">
        <f>INT(INDEX('Dados Consolidados'!$S$2:$S$38, MATCH(B91, 'Dados Consolidados'!$B$2:$B$38, 0)))</f>
        <v>#N/A</v>
      </c>
      <c r="AA91" s="25" t="e">
        <f>INT(INDEX('Dados Consolidados'!$T$2:$T$38, MATCH(E91, 'Dados Consolidados'!$E$2:$E$38, 0)))</f>
        <v>#N/A</v>
      </c>
      <c r="AB91" s="25" t="e">
        <f>INT(INDEX('Dados Consolidados'!$U$2:$U$38, MATCH(H91, 'Dados Consolidados'!$H$2:$H$38, 0)))</f>
        <v>#N/A</v>
      </c>
      <c r="AC91" s="25" t="e">
        <f>INT(INDEX('Dados Consolidados'!$V$2:$V$38, MATCH(J91, 'Dados Consolidados'!$J$2:$J$38, 0)))</f>
        <v>#N/A</v>
      </c>
      <c r="AD91" s="25" t="e">
        <f>INT(INDEX('Dados Consolidados'!$W$2:$W$38, MATCH(P91, 'Dados Consolidados'!$P$2:$P$38, 0)))</f>
        <v>#N/A</v>
      </c>
    </row>
    <row r="92" spans="1:30" ht="20.100000000000001" customHeight="1" x14ac:dyDescent="0.25">
      <c r="A92" s="24"/>
      <c r="B92" s="24"/>
      <c r="E92" s="17"/>
      <c r="F92" s="17"/>
      <c r="G92" s="17"/>
      <c r="H92" s="17"/>
      <c r="I92" s="42"/>
      <c r="J92" s="42"/>
      <c r="K92" s="17"/>
      <c r="L92" s="17"/>
      <c r="M92" s="18"/>
      <c r="N92" s="19"/>
      <c r="O92" s="19"/>
      <c r="P92" s="17"/>
      <c r="Y92" s="25" t="e">
        <f>INT(INDEX('Dados Consolidados'!$R$2:$R$38, MATCH(A92, 'Dados Consolidados'!$A$2:$A$38, 0)))</f>
        <v>#N/A</v>
      </c>
      <c r="Z92" s="25" t="e">
        <f>INT(INDEX('Dados Consolidados'!$S$2:$S$38, MATCH(B92, 'Dados Consolidados'!$B$2:$B$38, 0)))</f>
        <v>#N/A</v>
      </c>
      <c r="AA92" s="25" t="e">
        <f>INT(INDEX('Dados Consolidados'!$T$2:$T$38, MATCH(E92, 'Dados Consolidados'!$E$2:$E$38, 0)))</f>
        <v>#N/A</v>
      </c>
      <c r="AB92" s="25" t="e">
        <f>INT(INDEX('Dados Consolidados'!$U$2:$U$38, MATCH(H92, 'Dados Consolidados'!$H$2:$H$38, 0)))</f>
        <v>#N/A</v>
      </c>
      <c r="AC92" s="25" t="e">
        <f>INT(INDEX('Dados Consolidados'!$V$2:$V$38, MATCH(J92, 'Dados Consolidados'!$J$2:$J$38, 0)))</f>
        <v>#N/A</v>
      </c>
      <c r="AD92" s="25" t="e">
        <f>INT(INDEX('Dados Consolidados'!$W$2:$W$38, MATCH(P92, 'Dados Consolidados'!$P$2:$P$38, 0)))</f>
        <v>#N/A</v>
      </c>
    </row>
    <row r="93" spans="1:30" ht="20.100000000000001" customHeight="1" x14ac:dyDescent="0.25">
      <c r="A93" s="24"/>
      <c r="B93" s="24"/>
      <c r="E93" s="17"/>
      <c r="F93" s="17"/>
      <c r="G93" s="17"/>
      <c r="H93" s="17"/>
      <c r="I93" s="42"/>
      <c r="J93" s="42"/>
      <c r="K93" s="17"/>
      <c r="L93" s="17"/>
      <c r="M93" s="18"/>
      <c r="N93" s="19"/>
      <c r="O93" s="19"/>
      <c r="P93" s="17"/>
      <c r="Y93" s="25" t="e">
        <f>INT(INDEX('Dados Consolidados'!$R$2:$R$38, MATCH(A93, 'Dados Consolidados'!$A$2:$A$38, 0)))</f>
        <v>#N/A</v>
      </c>
      <c r="Z93" s="25" t="e">
        <f>INT(INDEX('Dados Consolidados'!$S$2:$S$38, MATCH(B93, 'Dados Consolidados'!$B$2:$B$38, 0)))</f>
        <v>#N/A</v>
      </c>
      <c r="AA93" s="25" t="e">
        <f>INT(INDEX('Dados Consolidados'!$T$2:$T$38, MATCH(E93, 'Dados Consolidados'!$E$2:$E$38, 0)))</f>
        <v>#N/A</v>
      </c>
      <c r="AB93" s="25" t="e">
        <f>INT(INDEX('Dados Consolidados'!$U$2:$U$38, MATCH(H93, 'Dados Consolidados'!$H$2:$H$38, 0)))</f>
        <v>#N/A</v>
      </c>
      <c r="AC93" s="25" t="e">
        <f>INT(INDEX('Dados Consolidados'!$V$2:$V$38, MATCH(J93, 'Dados Consolidados'!$J$2:$J$38, 0)))</f>
        <v>#N/A</v>
      </c>
      <c r="AD93" s="25" t="e">
        <f>INT(INDEX('Dados Consolidados'!$W$2:$W$38, MATCH(P93, 'Dados Consolidados'!$P$2:$P$38, 0)))</f>
        <v>#N/A</v>
      </c>
    </row>
    <row r="94" spans="1:30" ht="20.100000000000001" customHeight="1" x14ac:dyDescent="0.25">
      <c r="A94" s="24"/>
      <c r="B94" s="24"/>
      <c r="E94" s="17"/>
      <c r="F94" s="17"/>
      <c r="G94" s="17"/>
      <c r="H94" s="17"/>
      <c r="I94" s="42"/>
      <c r="J94" s="42"/>
      <c r="K94" s="17"/>
      <c r="L94" s="17"/>
      <c r="M94" s="18"/>
      <c r="N94" s="19"/>
      <c r="O94" s="19"/>
      <c r="P94" s="17"/>
      <c r="Y94" s="25" t="e">
        <f>INT(INDEX('Dados Consolidados'!$R$2:$R$38, MATCH(A94, 'Dados Consolidados'!$A$2:$A$38, 0)))</f>
        <v>#N/A</v>
      </c>
      <c r="Z94" s="25" t="e">
        <f>INT(INDEX('Dados Consolidados'!$S$2:$S$38, MATCH(B94, 'Dados Consolidados'!$B$2:$B$38, 0)))</f>
        <v>#N/A</v>
      </c>
      <c r="AA94" s="25" t="e">
        <f>INT(INDEX('Dados Consolidados'!$T$2:$T$38, MATCH(E94, 'Dados Consolidados'!$E$2:$E$38, 0)))</f>
        <v>#N/A</v>
      </c>
      <c r="AB94" s="25" t="e">
        <f>INT(INDEX('Dados Consolidados'!$U$2:$U$38, MATCH(H94, 'Dados Consolidados'!$H$2:$H$38, 0)))</f>
        <v>#N/A</v>
      </c>
      <c r="AC94" s="25" t="e">
        <f>INT(INDEX('Dados Consolidados'!$V$2:$V$38, MATCH(J94, 'Dados Consolidados'!$J$2:$J$38, 0)))</f>
        <v>#N/A</v>
      </c>
      <c r="AD94" s="25" t="e">
        <f>INT(INDEX('Dados Consolidados'!$W$2:$W$38, MATCH(P94, 'Dados Consolidados'!$P$2:$P$38, 0)))</f>
        <v>#N/A</v>
      </c>
    </row>
    <row r="95" spans="1:30" ht="20.100000000000001" customHeight="1" x14ac:dyDescent="0.25">
      <c r="A95" s="24"/>
      <c r="B95" s="24"/>
      <c r="E95" s="17"/>
      <c r="F95" s="17"/>
      <c r="G95" s="17"/>
      <c r="H95" s="17"/>
      <c r="I95" s="42"/>
      <c r="J95" s="42"/>
      <c r="K95" s="17"/>
      <c r="L95" s="17"/>
      <c r="M95" s="18"/>
      <c r="N95" s="19"/>
      <c r="O95" s="19"/>
      <c r="P95" s="17"/>
      <c r="Y95" s="25" t="e">
        <f>INT(INDEX('Dados Consolidados'!$R$2:$R$38, MATCH(A95, 'Dados Consolidados'!$A$2:$A$38, 0)))</f>
        <v>#N/A</v>
      </c>
      <c r="Z95" s="25" t="e">
        <f>INT(INDEX('Dados Consolidados'!$S$2:$S$38, MATCH(B95, 'Dados Consolidados'!$B$2:$B$38, 0)))</f>
        <v>#N/A</v>
      </c>
      <c r="AA95" s="25" t="e">
        <f>INT(INDEX('Dados Consolidados'!$T$2:$T$38, MATCH(E95, 'Dados Consolidados'!$E$2:$E$38, 0)))</f>
        <v>#N/A</v>
      </c>
      <c r="AB95" s="25" t="e">
        <f>INT(INDEX('Dados Consolidados'!$U$2:$U$38, MATCH(H95, 'Dados Consolidados'!$H$2:$H$38, 0)))</f>
        <v>#N/A</v>
      </c>
      <c r="AC95" s="25" t="e">
        <f>INT(INDEX('Dados Consolidados'!$V$2:$V$38, MATCH(J95, 'Dados Consolidados'!$J$2:$J$38, 0)))</f>
        <v>#N/A</v>
      </c>
      <c r="AD95" s="25" t="e">
        <f>INT(INDEX('Dados Consolidados'!$W$2:$W$38, MATCH(P95, 'Dados Consolidados'!$P$2:$P$38, 0)))</f>
        <v>#N/A</v>
      </c>
    </row>
    <row r="96" spans="1:30" ht="20.100000000000001" customHeight="1" x14ac:dyDescent="0.25">
      <c r="A96" s="24"/>
      <c r="B96" s="24"/>
      <c r="E96" s="17"/>
      <c r="F96" s="17"/>
      <c r="G96" s="17"/>
      <c r="H96" s="17"/>
      <c r="I96" s="42"/>
      <c r="J96" s="42"/>
      <c r="K96" s="17"/>
      <c r="L96" s="17"/>
      <c r="M96" s="18"/>
      <c r="N96" s="19"/>
      <c r="O96" s="19"/>
      <c r="P96" s="17"/>
      <c r="Y96" s="25" t="e">
        <f>INT(INDEX('Dados Consolidados'!$R$2:$R$38, MATCH(A96, 'Dados Consolidados'!$A$2:$A$38, 0)))</f>
        <v>#N/A</v>
      </c>
      <c r="Z96" s="25" t="e">
        <f>INT(INDEX('Dados Consolidados'!$S$2:$S$38, MATCH(B96, 'Dados Consolidados'!$B$2:$B$38, 0)))</f>
        <v>#N/A</v>
      </c>
      <c r="AA96" s="25" t="e">
        <f>INT(INDEX('Dados Consolidados'!$T$2:$T$38, MATCH(E96, 'Dados Consolidados'!$E$2:$E$38, 0)))</f>
        <v>#N/A</v>
      </c>
      <c r="AB96" s="25" t="e">
        <f>INT(INDEX('Dados Consolidados'!$U$2:$U$38, MATCH(H96, 'Dados Consolidados'!$H$2:$H$38, 0)))</f>
        <v>#N/A</v>
      </c>
      <c r="AC96" s="25" t="e">
        <f>INT(INDEX('Dados Consolidados'!$V$2:$V$38, MATCH(J96, 'Dados Consolidados'!$J$2:$J$38, 0)))</f>
        <v>#N/A</v>
      </c>
      <c r="AD96" s="25" t="e">
        <f>INT(INDEX('Dados Consolidados'!$W$2:$W$38, MATCH(P96, 'Dados Consolidados'!$P$2:$P$38, 0)))</f>
        <v>#N/A</v>
      </c>
    </row>
    <row r="97" spans="1:30" ht="20.100000000000001" customHeight="1" x14ac:dyDescent="0.25">
      <c r="A97" s="24"/>
      <c r="B97" s="24"/>
      <c r="E97" s="17"/>
      <c r="F97" s="17"/>
      <c r="G97" s="17"/>
      <c r="H97" s="17"/>
      <c r="I97" s="42"/>
      <c r="J97" s="42"/>
      <c r="K97" s="17"/>
      <c r="L97" s="17"/>
      <c r="M97" s="18"/>
      <c r="N97" s="19"/>
      <c r="O97" s="19"/>
      <c r="P97" s="17"/>
      <c r="Y97" s="25" t="e">
        <f>INT(INDEX('Dados Consolidados'!$R$2:$R$38, MATCH(A97, 'Dados Consolidados'!$A$2:$A$38, 0)))</f>
        <v>#N/A</v>
      </c>
      <c r="Z97" s="25" t="e">
        <f>INT(INDEX('Dados Consolidados'!$S$2:$S$38, MATCH(B97, 'Dados Consolidados'!$B$2:$B$38, 0)))</f>
        <v>#N/A</v>
      </c>
      <c r="AA97" s="25" t="e">
        <f>INT(INDEX('Dados Consolidados'!$T$2:$T$38, MATCH(E97, 'Dados Consolidados'!$E$2:$E$38, 0)))</f>
        <v>#N/A</v>
      </c>
      <c r="AB97" s="25" t="e">
        <f>INT(INDEX('Dados Consolidados'!$U$2:$U$38, MATCH(H97, 'Dados Consolidados'!$H$2:$H$38, 0)))</f>
        <v>#N/A</v>
      </c>
      <c r="AC97" s="25" t="e">
        <f>INT(INDEX('Dados Consolidados'!$V$2:$V$38, MATCH(J97, 'Dados Consolidados'!$J$2:$J$38, 0)))</f>
        <v>#N/A</v>
      </c>
      <c r="AD97" s="25" t="e">
        <f>INT(INDEX('Dados Consolidados'!$W$2:$W$38, MATCH(P97, 'Dados Consolidados'!$P$2:$P$38, 0)))</f>
        <v>#N/A</v>
      </c>
    </row>
    <row r="98" spans="1:30" ht="20.100000000000001" customHeight="1" x14ac:dyDescent="0.25">
      <c r="A98" s="24"/>
      <c r="B98" s="24"/>
      <c r="E98" s="17"/>
      <c r="F98" s="17"/>
      <c r="G98" s="17"/>
      <c r="H98" s="17"/>
      <c r="I98" s="42"/>
      <c r="J98" s="42"/>
      <c r="K98" s="17"/>
      <c r="L98" s="17"/>
      <c r="M98" s="18"/>
      <c r="N98" s="19"/>
      <c r="O98" s="19"/>
      <c r="P98" s="17"/>
      <c r="Y98" s="25" t="e">
        <f>INT(INDEX('Dados Consolidados'!$R$2:$R$38, MATCH(A98, 'Dados Consolidados'!$A$2:$A$38, 0)))</f>
        <v>#N/A</v>
      </c>
      <c r="Z98" s="25" t="e">
        <f>INT(INDEX('Dados Consolidados'!$S$2:$S$38, MATCH(B98, 'Dados Consolidados'!$B$2:$B$38, 0)))</f>
        <v>#N/A</v>
      </c>
      <c r="AA98" s="25" t="e">
        <f>INT(INDEX('Dados Consolidados'!$T$2:$T$38, MATCH(E98, 'Dados Consolidados'!$E$2:$E$38, 0)))</f>
        <v>#N/A</v>
      </c>
      <c r="AB98" s="25" t="e">
        <f>INT(INDEX('Dados Consolidados'!$U$2:$U$38, MATCH(H98, 'Dados Consolidados'!$H$2:$H$38, 0)))</f>
        <v>#N/A</v>
      </c>
      <c r="AC98" s="25" t="e">
        <f>INT(INDEX('Dados Consolidados'!$V$2:$V$38, MATCH(J98, 'Dados Consolidados'!$J$2:$J$38, 0)))</f>
        <v>#N/A</v>
      </c>
      <c r="AD98" s="25" t="e">
        <f>INT(INDEX('Dados Consolidados'!$W$2:$W$38, MATCH(P98, 'Dados Consolidados'!$P$2:$P$38, 0)))</f>
        <v>#N/A</v>
      </c>
    </row>
    <row r="99" spans="1:30" ht="20.100000000000001" customHeight="1" x14ac:dyDescent="0.25">
      <c r="A99" s="24"/>
      <c r="B99" s="24"/>
      <c r="E99" s="17"/>
      <c r="F99" s="17"/>
      <c r="G99" s="17"/>
      <c r="H99" s="17"/>
      <c r="I99" s="42"/>
      <c r="J99" s="42"/>
      <c r="K99" s="17"/>
      <c r="L99" s="17"/>
      <c r="M99" s="18"/>
      <c r="N99" s="19"/>
      <c r="O99" s="19"/>
      <c r="P99" s="17"/>
      <c r="Y99" s="25" t="e">
        <f>INT(INDEX('Dados Consolidados'!$R$2:$R$38, MATCH(A99, 'Dados Consolidados'!$A$2:$A$38, 0)))</f>
        <v>#N/A</v>
      </c>
      <c r="Z99" s="25" t="e">
        <f>INT(INDEX('Dados Consolidados'!$S$2:$S$38, MATCH(B99, 'Dados Consolidados'!$B$2:$B$38, 0)))</f>
        <v>#N/A</v>
      </c>
      <c r="AA99" s="25" t="e">
        <f>INT(INDEX('Dados Consolidados'!$T$2:$T$38, MATCH(E99, 'Dados Consolidados'!$E$2:$E$38, 0)))</f>
        <v>#N/A</v>
      </c>
      <c r="AB99" s="25" t="e">
        <f>INT(INDEX('Dados Consolidados'!$U$2:$U$38, MATCH(H99, 'Dados Consolidados'!$H$2:$H$38, 0)))</f>
        <v>#N/A</v>
      </c>
      <c r="AC99" s="25" t="e">
        <f>INT(INDEX('Dados Consolidados'!$V$2:$V$38, MATCH(J99, 'Dados Consolidados'!$J$2:$J$38, 0)))</f>
        <v>#N/A</v>
      </c>
      <c r="AD99" s="25" t="e">
        <f>INT(INDEX('Dados Consolidados'!$W$2:$W$38, MATCH(P99, 'Dados Consolidados'!$P$2:$P$38, 0)))</f>
        <v>#N/A</v>
      </c>
    </row>
    <row r="100" spans="1:30" ht="20.100000000000001" customHeight="1" x14ac:dyDescent="0.25">
      <c r="A100" s="24"/>
      <c r="B100" s="24"/>
      <c r="E100" s="17"/>
      <c r="F100" s="17"/>
      <c r="G100" s="17"/>
      <c r="H100" s="17"/>
      <c r="I100" s="42"/>
      <c r="J100" s="42"/>
      <c r="K100" s="17"/>
      <c r="L100" s="17"/>
      <c r="M100" s="18"/>
      <c r="N100" s="19"/>
      <c r="O100" s="19"/>
      <c r="P100" s="17"/>
      <c r="Y100" s="25" t="e">
        <f>INT(INDEX('Dados Consolidados'!$R$2:$R$38, MATCH(A100, 'Dados Consolidados'!$A$2:$A$38, 0)))</f>
        <v>#N/A</v>
      </c>
      <c r="Z100" s="25" t="e">
        <f>INT(INDEX('Dados Consolidados'!$S$2:$S$38, MATCH(B100, 'Dados Consolidados'!$B$2:$B$38, 0)))</f>
        <v>#N/A</v>
      </c>
      <c r="AA100" s="25" t="e">
        <f>INT(INDEX('Dados Consolidados'!$T$2:$T$38, MATCH(E100, 'Dados Consolidados'!$E$2:$E$38, 0)))</f>
        <v>#N/A</v>
      </c>
      <c r="AB100" s="25" t="e">
        <f>INT(INDEX('Dados Consolidados'!$U$2:$U$38, MATCH(H100, 'Dados Consolidados'!$H$2:$H$38, 0)))</f>
        <v>#N/A</v>
      </c>
      <c r="AC100" s="25" t="e">
        <f>INT(INDEX('Dados Consolidados'!$V$2:$V$38, MATCH(J100, 'Dados Consolidados'!$J$2:$J$38, 0)))</f>
        <v>#N/A</v>
      </c>
      <c r="AD100" s="25" t="e">
        <f>INT(INDEX('Dados Consolidados'!$W$2:$W$38, MATCH(P100, 'Dados Consolidados'!$P$2:$P$38, 0)))</f>
        <v>#N/A</v>
      </c>
    </row>
    <row r="101" spans="1:30" ht="20.100000000000001" customHeight="1" x14ac:dyDescent="0.25">
      <c r="A101" s="24"/>
      <c r="B101" s="24"/>
      <c r="E101" s="17"/>
      <c r="F101" s="17"/>
      <c r="G101" s="17"/>
      <c r="H101" s="17"/>
      <c r="I101" s="42"/>
      <c r="J101" s="42"/>
      <c r="K101" s="17"/>
      <c r="L101" s="17"/>
      <c r="M101" s="18"/>
      <c r="N101" s="19"/>
      <c r="O101" s="19"/>
      <c r="P101" s="17"/>
      <c r="Y101" s="25" t="e">
        <f>INT(INDEX('Dados Consolidados'!$R$2:$R$38, MATCH(A101, 'Dados Consolidados'!$A$2:$A$38, 0)))</f>
        <v>#N/A</v>
      </c>
      <c r="Z101" s="25" t="e">
        <f>INT(INDEX('Dados Consolidados'!$S$2:$S$38, MATCH(B101, 'Dados Consolidados'!$B$2:$B$38, 0)))</f>
        <v>#N/A</v>
      </c>
      <c r="AA101" s="25" t="e">
        <f>INT(INDEX('Dados Consolidados'!$T$2:$T$38, MATCH(E101, 'Dados Consolidados'!$E$2:$E$38, 0)))</f>
        <v>#N/A</v>
      </c>
      <c r="AB101" s="25" t="e">
        <f>INT(INDEX('Dados Consolidados'!$U$2:$U$38, MATCH(H101, 'Dados Consolidados'!$H$2:$H$38, 0)))</f>
        <v>#N/A</v>
      </c>
      <c r="AC101" s="25" t="e">
        <f>INT(INDEX('Dados Consolidados'!$V$2:$V$38, MATCH(J101, 'Dados Consolidados'!$J$2:$J$38, 0)))</f>
        <v>#N/A</v>
      </c>
      <c r="AD101" s="25" t="e">
        <f>INT(INDEX('Dados Consolidados'!$W$2:$W$38, MATCH(P101, 'Dados Consolidados'!$P$2:$P$38, 0)))</f>
        <v>#N/A</v>
      </c>
    </row>
    <row r="102" spans="1:30" ht="20.100000000000001" customHeight="1" x14ac:dyDescent="0.25">
      <c r="A102" s="24"/>
      <c r="B102" s="24"/>
      <c r="E102" s="17"/>
      <c r="F102" s="17"/>
      <c r="G102" s="17"/>
      <c r="H102" s="17"/>
      <c r="I102" s="42"/>
      <c r="J102" s="42"/>
      <c r="K102" s="17"/>
      <c r="L102" s="17"/>
      <c r="M102" s="18"/>
      <c r="N102" s="19"/>
      <c r="O102" s="19"/>
      <c r="P102" s="17"/>
      <c r="Y102" s="25" t="e">
        <f>INT(INDEX('Dados Consolidados'!$R$2:$R$38, MATCH(A102, 'Dados Consolidados'!$A$2:$A$38, 0)))</f>
        <v>#N/A</v>
      </c>
      <c r="Z102" s="25" t="e">
        <f>INT(INDEX('Dados Consolidados'!$S$2:$S$38, MATCH(B102, 'Dados Consolidados'!$B$2:$B$38, 0)))</f>
        <v>#N/A</v>
      </c>
      <c r="AA102" s="25" t="e">
        <f>INT(INDEX('Dados Consolidados'!$T$2:$T$38, MATCH(E102, 'Dados Consolidados'!$E$2:$E$38, 0)))</f>
        <v>#N/A</v>
      </c>
      <c r="AB102" s="25" t="e">
        <f>INT(INDEX('Dados Consolidados'!$U$2:$U$38, MATCH(H102, 'Dados Consolidados'!$H$2:$H$38, 0)))</f>
        <v>#N/A</v>
      </c>
      <c r="AC102" s="25" t="e">
        <f>INT(INDEX('Dados Consolidados'!$V$2:$V$38, MATCH(J102, 'Dados Consolidados'!$J$2:$J$38, 0)))</f>
        <v>#N/A</v>
      </c>
      <c r="AD102" s="25" t="e">
        <f>INT(INDEX('Dados Consolidados'!$W$2:$W$38, MATCH(P102, 'Dados Consolidados'!$P$2:$P$38, 0)))</f>
        <v>#N/A</v>
      </c>
    </row>
    <row r="103" spans="1:30" ht="20.100000000000001" customHeight="1" x14ac:dyDescent="0.25">
      <c r="A103" s="24"/>
      <c r="B103" s="24"/>
      <c r="E103" s="17"/>
      <c r="F103" s="17"/>
      <c r="G103" s="17"/>
      <c r="H103" s="17"/>
      <c r="I103" s="42"/>
      <c r="J103" s="42"/>
      <c r="K103" s="17"/>
      <c r="L103" s="17"/>
      <c r="M103" s="18"/>
      <c r="N103" s="19"/>
      <c r="O103" s="19"/>
      <c r="P103" s="17"/>
      <c r="Y103" s="25" t="e">
        <f>INT(INDEX('Dados Consolidados'!$R$2:$R$38, MATCH(A103, 'Dados Consolidados'!$A$2:$A$38, 0)))</f>
        <v>#N/A</v>
      </c>
      <c r="Z103" s="25" t="e">
        <f>INT(INDEX('Dados Consolidados'!$S$2:$S$38, MATCH(B103, 'Dados Consolidados'!$B$2:$B$38, 0)))</f>
        <v>#N/A</v>
      </c>
      <c r="AA103" s="25" t="e">
        <f>INT(INDEX('Dados Consolidados'!$T$2:$T$38, MATCH(E103, 'Dados Consolidados'!$E$2:$E$38, 0)))</f>
        <v>#N/A</v>
      </c>
      <c r="AB103" s="25" t="e">
        <f>INT(INDEX('Dados Consolidados'!$U$2:$U$38, MATCH(H103, 'Dados Consolidados'!$H$2:$H$38, 0)))</f>
        <v>#N/A</v>
      </c>
      <c r="AC103" s="25" t="e">
        <f>INT(INDEX('Dados Consolidados'!$V$2:$V$38, MATCH(J103, 'Dados Consolidados'!$J$2:$J$38, 0)))</f>
        <v>#N/A</v>
      </c>
      <c r="AD103" s="25" t="e">
        <f>INT(INDEX('Dados Consolidados'!$W$2:$W$38, MATCH(P103, 'Dados Consolidados'!$P$2:$P$38, 0)))</f>
        <v>#N/A</v>
      </c>
    </row>
    <row r="104" spans="1:30" ht="20.100000000000001" customHeight="1" x14ac:dyDescent="0.25">
      <c r="A104" s="24"/>
      <c r="B104" s="24"/>
      <c r="E104" s="17"/>
      <c r="F104" s="17"/>
      <c r="G104" s="17"/>
      <c r="H104" s="17"/>
      <c r="I104" s="42"/>
      <c r="J104" s="42"/>
      <c r="K104" s="17"/>
      <c r="L104" s="17"/>
      <c r="M104" s="18"/>
      <c r="N104" s="19"/>
      <c r="O104" s="19"/>
      <c r="P104" s="17"/>
      <c r="Y104" s="25" t="e">
        <f>INT(INDEX('Dados Consolidados'!$R$2:$R$38, MATCH(A104, 'Dados Consolidados'!$A$2:$A$38, 0)))</f>
        <v>#N/A</v>
      </c>
      <c r="Z104" s="25" t="e">
        <f>INT(INDEX('Dados Consolidados'!$S$2:$S$38, MATCH(B104, 'Dados Consolidados'!$B$2:$B$38, 0)))</f>
        <v>#N/A</v>
      </c>
      <c r="AA104" s="25" t="e">
        <f>INT(INDEX('Dados Consolidados'!$T$2:$T$38, MATCH(E104, 'Dados Consolidados'!$E$2:$E$38, 0)))</f>
        <v>#N/A</v>
      </c>
      <c r="AB104" s="25" t="e">
        <f>INT(INDEX('Dados Consolidados'!$U$2:$U$38, MATCH(H104, 'Dados Consolidados'!$H$2:$H$38, 0)))</f>
        <v>#N/A</v>
      </c>
      <c r="AC104" s="25" t="e">
        <f>INT(INDEX('Dados Consolidados'!$V$2:$V$38, MATCH(J104, 'Dados Consolidados'!$J$2:$J$38, 0)))</f>
        <v>#N/A</v>
      </c>
      <c r="AD104" s="25" t="e">
        <f>INT(INDEX('Dados Consolidados'!$W$2:$W$38, MATCH(P104, 'Dados Consolidados'!$P$2:$P$38, 0)))</f>
        <v>#N/A</v>
      </c>
    </row>
    <row r="105" spans="1:30" ht="20.100000000000001" customHeight="1" x14ac:dyDescent="0.25">
      <c r="A105" s="24"/>
      <c r="B105" s="24"/>
      <c r="E105" s="17"/>
      <c r="F105" s="17"/>
      <c r="G105" s="17"/>
      <c r="H105" s="17"/>
      <c r="I105" s="42"/>
      <c r="J105" s="42"/>
      <c r="K105" s="17"/>
      <c r="L105" s="17"/>
      <c r="M105" s="18"/>
      <c r="N105" s="19"/>
      <c r="O105" s="19"/>
      <c r="P105" s="17"/>
      <c r="Y105" s="25" t="e">
        <f>INT(INDEX('Dados Consolidados'!$R$2:$R$38, MATCH(A105, 'Dados Consolidados'!$A$2:$A$38, 0)))</f>
        <v>#N/A</v>
      </c>
      <c r="Z105" s="25" t="e">
        <f>INT(INDEX('Dados Consolidados'!$S$2:$S$38, MATCH(B105, 'Dados Consolidados'!$B$2:$B$38, 0)))</f>
        <v>#N/A</v>
      </c>
      <c r="AA105" s="25" t="e">
        <f>INT(INDEX('Dados Consolidados'!$T$2:$T$38, MATCH(E105, 'Dados Consolidados'!$E$2:$E$38, 0)))</f>
        <v>#N/A</v>
      </c>
      <c r="AB105" s="25" t="e">
        <f>INT(INDEX('Dados Consolidados'!$U$2:$U$38, MATCH(H105, 'Dados Consolidados'!$H$2:$H$38, 0)))</f>
        <v>#N/A</v>
      </c>
      <c r="AC105" s="25" t="e">
        <f>INT(INDEX('Dados Consolidados'!$V$2:$V$38, MATCH(J105, 'Dados Consolidados'!$J$2:$J$38, 0)))</f>
        <v>#N/A</v>
      </c>
      <c r="AD105" s="25" t="e">
        <f>INT(INDEX('Dados Consolidados'!$W$2:$W$38, MATCH(P105, 'Dados Consolidados'!$P$2:$P$38, 0)))</f>
        <v>#N/A</v>
      </c>
    </row>
    <row r="106" spans="1:30" ht="20.100000000000001" customHeight="1" x14ac:dyDescent="0.25">
      <c r="A106" s="24"/>
      <c r="B106" s="24"/>
      <c r="E106" s="17"/>
      <c r="F106" s="17"/>
      <c r="G106" s="17"/>
      <c r="H106" s="17"/>
      <c r="I106" s="42"/>
      <c r="J106" s="42"/>
      <c r="K106" s="17"/>
      <c r="L106" s="17"/>
      <c r="M106" s="18"/>
      <c r="N106" s="19"/>
      <c r="O106" s="19"/>
      <c r="P106" s="17"/>
      <c r="Y106" s="25" t="e">
        <f>INT(INDEX('Dados Consolidados'!$R$2:$R$38, MATCH(A106, 'Dados Consolidados'!$A$2:$A$38, 0)))</f>
        <v>#N/A</v>
      </c>
      <c r="Z106" s="25" t="e">
        <f>INT(INDEX('Dados Consolidados'!$S$2:$S$38, MATCH(B106, 'Dados Consolidados'!$B$2:$B$38, 0)))</f>
        <v>#N/A</v>
      </c>
      <c r="AA106" s="25" t="e">
        <f>INT(INDEX('Dados Consolidados'!$T$2:$T$38, MATCH(E106, 'Dados Consolidados'!$E$2:$E$38, 0)))</f>
        <v>#N/A</v>
      </c>
      <c r="AB106" s="25" t="e">
        <f>INT(INDEX('Dados Consolidados'!$U$2:$U$38, MATCH(H106, 'Dados Consolidados'!$H$2:$H$38, 0)))</f>
        <v>#N/A</v>
      </c>
      <c r="AC106" s="25" t="e">
        <f>INT(INDEX('Dados Consolidados'!$V$2:$V$38, MATCH(J106, 'Dados Consolidados'!$J$2:$J$38, 0)))</f>
        <v>#N/A</v>
      </c>
      <c r="AD106" s="25" t="e">
        <f>INT(INDEX('Dados Consolidados'!$W$2:$W$38, MATCH(P106, 'Dados Consolidados'!$P$2:$P$38, 0)))</f>
        <v>#N/A</v>
      </c>
    </row>
    <row r="107" spans="1:30" ht="20.100000000000001" customHeight="1" x14ac:dyDescent="0.25">
      <c r="A107" s="24"/>
      <c r="B107" s="24"/>
      <c r="E107" s="17"/>
      <c r="F107" s="17"/>
      <c r="G107" s="17"/>
      <c r="H107" s="17"/>
      <c r="I107" s="42"/>
      <c r="J107" s="42"/>
      <c r="K107" s="17"/>
      <c r="L107" s="17"/>
      <c r="M107" s="18"/>
      <c r="N107" s="19"/>
      <c r="O107" s="19"/>
      <c r="P107" s="17"/>
      <c r="Y107" s="25" t="e">
        <f>INT(INDEX('Dados Consolidados'!$R$2:$R$38, MATCH(A107, 'Dados Consolidados'!$A$2:$A$38, 0)))</f>
        <v>#N/A</v>
      </c>
      <c r="Z107" s="25" t="e">
        <f>INT(INDEX('Dados Consolidados'!$S$2:$S$38, MATCH(B107, 'Dados Consolidados'!$B$2:$B$38, 0)))</f>
        <v>#N/A</v>
      </c>
      <c r="AA107" s="25" t="e">
        <f>INT(INDEX('Dados Consolidados'!$T$2:$T$38, MATCH(E107, 'Dados Consolidados'!$E$2:$E$38, 0)))</f>
        <v>#N/A</v>
      </c>
      <c r="AB107" s="25" t="e">
        <f>INT(INDEX('Dados Consolidados'!$U$2:$U$38, MATCH(H107, 'Dados Consolidados'!$H$2:$H$38, 0)))</f>
        <v>#N/A</v>
      </c>
      <c r="AC107" s="25" t="e">
        <f>INT(INDEX('Dados Consolidados'!$V$2:$V$38, MATCH(J107, 'Dados Consolidados'!$J$2:$J$38, 0)))</f>
        <v>#N/A</v>
      </c>
      <c r="AD107" s="25" t="e">
        <f>INT(INDEX('Dados Consolidados'!$W$2:$W$38, MATCH(P107, 'Dados Consolidados'!$P$2:$P$38, 0)))</f>
        <v>#N/A</v>
      </c>
    </row>
    <row r="108" spans="1:30" ht="20.100000000000001" customHeight="1" x14ac:dyDescent="0.25">
      <c r="A108" s="24"/>
      <c r="B108" s="24"/>
      <c r="E108" s="17"/>
      <c r="F108" s="17"/>
      <c r="G108" s="17"/>
      <c r="H108" s="17"/>
      <c r="I108" s="42"/>
      <c r="J108" s="42"/>
      <c r="K108" s="17"/>
      <c r="L108" s="17"/>
      <c r="M108" s="18"/>
      <c r="N108" s="19"/>
      <c r="O108" s="19"/>
      <c r="P108" s="17"/>
      <c r="Y108" s="25" t="e">
        <f>INT(INDEX('Dados Consolidados'!$R$2:$R$38, MATCH(A108, 'Dados Consolidados'!$A$2:$A$38, 0)))</f>
        <v>#N/A</v>
      </c>
      <c r="Z108" s="25" t="e">
        <f>INT(INDEX('Dados Consolidados'!$S$2:$S$38, MATCH(B108, 'Dados Consolidados'!$B$2:$B$38, 0)))</f>
        <v>#N/A</v>
      </c>
      <c r="AA108" s="25" t="e">
        <f>INT(INDEX('Dados Consolidados'!$T$2:$T$38, MATCH(E108, 'Dados Consolidados'!$E$2:$E$38, 0)))</f>
        <v>#N/A</v>
      </c>
      <c r="AB108" s="25" t="e">
        <f>INT(INDEX('Dados Consolidados'!$U$2:$U$38, MATCH(H108, 'Dados Consolidados'!$H$2:$H$38, 0)))</f>
        <v>#N/A</v>
      </c>
      <c r="AC108" s="25" t="e">
        <f>INT(INDEX('Dados Consolidados'!$V$2:$V$38, MATCH(J108, 'Dados Consolidados'!$J$2:$J$38, 0)))</f>
        <v>#N/A</v>
      </c>
      <c r="AD108" s="25" t="e">
        <f>INT(INDEX('Dados Consolidados'!$W$2:$W$38, MATCH(P108, 'Dados Consolidados'!$P$2:$P$38, 0)))</f>
        <v>#N/A</v>
      </c>
    </row>
    <row r="109" spans="1:30" ht="20.100000000000001" customHeight="1" x14ac:dyDescent="0.25">
      <c r="A109" s="24"/>
      <c r="B109" s="24"/>
      <c r="E109" s="17"/>
      <c r="F109" s="17"/>
      <c r="G109" s="17"/>
      <c r="H109" s="17"/>
      <c r="I109" s="42"/>
      <c r="J109" s="42"/>
      <c r="K109" s="17"/>
      <c r="L109" s="17"/>
      <c r="M109" s="18"/>
      <c r="N109" s="19"/>
      <c r="O109" s="19"/>
      <c r="P109" s="17"/>
      <c r="Y109" s="25" t="e">
        <f>INT(INDEX('Dados Consolidados'!$R$2:$R$38, MATCH(A109, 'Dados Consolidados'!$A$2:$A$38, 0)))</f>
        <v>#N/A</v>
      </c>
      <c r="Z109" s="25" t="e">
        <f>INT(INDEX('Dados Consolidados'!$S$2:$S$38, MATCH(B109, 'Dados Consolidados'!$B$2:$B$38, 0)))</f>
        <v>#N/A</v>
      </c>
      <c r="AA109" s="25" t="e">
        <f>INT(INDEX('Dados Consolidados'!$T$2:$T$38, MATCH(E109, 'Dados Consolidados'!$E$2:$E$38, 0)))</f>
        <v>#N/A</v>
      </c>
      <c r="AB109" s="25" t="e">
        <f>INT(INDEX('Dados Consolidados'!$U$2:$U$38, MATCH(H109, 'Dados Consolidados'!$H$2:$H$38, 0)))</f>
        <v>#N/A</v>
      </c>
      <c r="AC109" s="25" t="e">
        <f>INT(INDEX('Dados Consolidados'!$V$2:$V$38, MATCH(J109, 'Dados Consolidados'!$J$2:$J$38, 0)))</f>
        <v>#N/A</v>
      </c>
      <c r="AD109" s="25" t="e">
        <f>INT(INDEX('Dados Consolidados'!$W$2:$W$38, MATCH(P109, 'Dados Consolidados'!$P$2:$P$38, 0)))</f>
        <v>#N/A</v>
      </c>
    </row>
    <row r="110" spans="1:30" ht="20.100000000000001" customHeight="1" x14ac:dyDescent="0.25">
      <c r="A110" s="24"/>
      <c r="B110" s="24"/>
      <c r="E110" s="17"/>
      <c r="F110" s="17"/>
      <c r="G110" s="17"/>
      <c r="H110" s="17"/>
      <c r="I110" s="42"/>
      <c r="J110" s="42"/>
      <c r="K110" s="17"/>
      <c r="L110" s="17"/>
      <c r="M110" s="18"/>
      <c r="N110" s="19"/>
      <c r="O110" s="19"/>
      <c r="P110" s="17"/>
      <c r="Y110" s="25" t="e">
        <f>INT(INDEX('Dados Consolidados'!$R$2:$R$38, MATCH(A110, 'Dados Consolidados'!$A$2:$A$38, 0)))</f>
        <v>#N/A</v>
      </c>
      <c r="Z110" s="25" t="e">
        <f>INT(INDEX('Dados Consolidados'!$S$2:$S$38, MATCH(B110, 'Dados Consolidados'!$B$2:$B$38, 0)))</f>
        <v>#N/A</v>
      </c>
      <c r="AA110" s="25" t="e">
        <f>INT(INDEX('Dados Consolidados'!$T$2:$T$38, MATCH(E110, 'Dados Consolidados'!$E$2:$E$38, 0)))</f>
        <v>#N/A</v>
      </c>
      <c r="AB110" s="25" t="e">
        <f>INT(INDEX('Dados Consolidados'!$U$2:$U$38, MATCH(H110, 'Dados Consolidados'!$H$2:$H$38, 0)))</f>
        <v>#N/A</v>
      </c>
      <c r="AC110" s="25" t="e">
        <f>INT(INDEX('Dados Consolidados'!$V$2:$V$38, MATCH(J110, 'Dados Consolidados'!$J$2:$J$38, 0)))</f>
        <v>#N/A</v>
      </c>
      <c r="AD110" s="25" t="e">
        <f>INT(INDEX('Dados Consolidados'!$W$2:$W$38, MATCH(P110, 'Dados Consolidados'!$P$2:$P$38, 0)))</f>
        <v>#N/A</v>
      </c>
    </row>
    <row r="111" spans="1:30" ht="20.100000000000001" customHeight="1" x14ac:dyDescent="0.25">
      <c r="A111" s="24"/>
      <c r="B111" s="24"/>
      <c r="E111" s="17"/>
      <c r="F111" s="17"/>
      <c r="G111" s="17"/>
      <c r="H111" s="17"/>
      <c r="I111" s="42"/>
      <c r="J111" s="42"/>
      <c r="K111" s="17"/>
      <c r="L111" s="17"/>
      <c r="M111" s="18"/>
      <c r="N111" s="19"/>
      <c r="O111" s="19"/>
      <c r="P111" s="17"/>
      <c r="Y111" s="25" t="e">
        <f>INT(INDEX('Dados Consolidados'!$R$2:$R$38, MATCH(A111, 'Dados Consolidados'!$A$2:$A$38, 0)))</f>
        <v>#N/A</v>
      </c>
      <c r="Z111" s="25" t="e">
        <f>INT(INDEX('Dados Consolidados'!$S$2:$S$38, MATCH(B111, 'Dados Consolidados'!$B$2:$B$38, 0)))</f>
        <v>#N/A</v>
      </c>
      <c r="AA111" s="25" t="e">
        <f>INT(INDEX('Dados Consolidados'!$T$2:$T$38, MATCH(E111, 'Dados Consolidados'!$E$2:$E$38, 0)))</f>
        <v>#N/A</v>
      </c>
      <c r="AB111" s="25" t="e">
        <f>INT(INDEX('Dados Consolidados'!$U$2:$U$38, MATCH(H111, 'Dados Consolidados'!$H$2:$H$38, 0)))</f>
        <v>#N/A</v>
      </c>
      <c r="AC111" s="25" t="e">
        <f>INT(INDEX('Dados Consolidados'!$V$2:$V$38, MATCH(J111, 'Dados Consolidados'!$J$2:$J$38, 0)))</f>
        <v>#N/A</v>
      </c>
      <c r="AD111" s="25" t="e">
        <f>INT(INDEX('Dados Consolidados'!$W$2:$W$38, MATCH(P111, 'Dados Consolidados'!$P$2:$P$38, 0)))</f>
        <v>#N/A</v>
      </c>
    </row>
    <row r="112" spans="1:30" ht="20.100000000000001" customHeight="1" x14ac:dyDescent="0.25">
      <c r="A112" s="24"/>
      <c r="B112" s="24"/>
      <c r="E112" s="17"/>
      <c r="F112" s="17"/>
      <c r="G112" s="17"/>
      <c r="H112" s="17"/>
      <c r="I112" s="42"/>
      <c r="J112" s="42"/>
      <c r="K112" s="17"/>
      <c r="L112" s="17"/>
      <c r="M112" s="18"/>
      <c r="N112" s="19"/>
      <c r="O112" s="19"/>
      <c r="P112" s="17"/>
      <c r="Y112" s="25" t="e">
        <f>INT(INDEX('Dados Consolidados'!$R$2:$R$38, MATCH(A112, 'Dados Consolidados'!$A$2:$A$38, 0)))</f>
        <v>#N/A</v>
      </c>
      <c r="Z112" s="25" t="e">
        <f>INT(INDEX('Dados Consolidados'!$S$2:$S$38, MATCH(B112, 'Dados Consolidados'!$B$2:$B$38, 0)))</f>
        <v>#N/A</v>
      </c>
      <c r="AA112" s="25" t="e">
        <f>INT(INDEX('Dados Consolidados'!$T$2:$T$38, MATCH(E112, 'Dados Consolidados'!$E$2:$E$38, 0)))</f>
        <v>#N/A</v>
      </c>
      <c r="AB112" s="25" t="e">
        <f>INT(INDEX('Dados Consolidados'!$U$2:$U$38, MATCH(H112, 'Dados Consolidados'!$H$2:$H$38, 0)))</f>
        <v>#N/A</v>
      </c>
      <c r="AC112" s="25" t="e">
        <f>INT(INDEX('Dados Consolidados'!$V$2:$V$38, MATCH(J112, 'Dados Consolidados'!$J$2:$J$38, 0)))</f>
        <v>#N/A</v>
      </c>
      <c r="AD112" s="25" t="e">
        <f>INT(INDEX('Dados Consolidados'!$W$2:$W$38, MATCH(P112, 'Dados Consolidados'!$P$2:$P$38, 0)))</f>
        <v>#N/A</v>
      </c>
    </row>
    <row r="113" spans="1:30" ht="20.100000000000001" customHeight="1" x14ac:dyDescent="0.25">
      <c r="A113" s="24"/>
      <c r="B113" s="24"/>
      <c r="E113" s="17"/>
      <c r="F113" s="17"/>
      <c r="G113" s="17"/>
      <c r="H113" s="17"/>
      <c r="I113" s="42"/>
      <c r="J113" s="42"/>
      <c r="K113" s="17"/>
      <c r="L113" s="17"/>
      <c r="M113" s="18"/>
      <c r="N113" s="19"/>
      <c r="O113" s="19"/>
      <c r="P113" s="17"/>
      <c r="Y113" s="25" t="e">
        <f>INT(INDEX('Dados Consolidados'!$R$2:$R$38, MATCH(A113, 'Dados Consolidados'!$A$2:$A$38, 0)))</f>
        <v>#N/A</v>
      </c>
      <c r="Z113" s="25" t="e">
        <f>INT(INDEX('Dados Consolidados'!$S$2:$S$38, MATCH(B113, 'Dados Consolidados'!$B$2:$B$38, 0)))</f>
        <v>#N/A</v>
      </c>
      <c r="AA113" s="25" t="e">
        <f>INT(INDEX('Dados Consolidados'!$T$2:$T$38, MATCH(E113, 'Dados Consolidados'!$E$2:$E$38, 0)))</f>
        <v>#N/A</v>
      </c>
      <c r="AB113" s="25" t="e">
        <f>INT(INDEX('Dados Consolidados'!$U$2:$U$38, MATCH(H113, 'Dados Consolidados'!$H$2:$H$38, 0)))</f>
        <v>#N/A</v>
      </c>
      <c r="AC113" s="25" t="e">
        <f>INT(INDEX('Dados Consolidados'!$V$2:$V$38, MATCH(J113, 'Dados Consolidados'!$J$2:$J$38, 0)))</f>
        <v>#N/A</v>
      </c>
      <c r="AD113" s="25" t="e">
        <f>INT(INDEX('Dados Consolidados'!$W$2:$W$38, MATCH(P113, 'Dados Consolidados'!$P$2:$P$38, 0)))</f>
        <v>#N/A</v>
      </c>
    </row>
    <row r="114" spans="1:30" ht="20.100000000000001" customHeight="1" x14ac:dyDescent="0.25">
      <c r="A114" s="24"/>
      <c r="B114" s="24"/>
      <c r="E114" s="17"/>
      <c r="F114" s="17"/>
      <c r="G114" s="17"/>
      <c r="H114" s="17"/>
      <c r="I114" s="42"/>
      <c r="J114" s="42"/>
      <c r="K114" s="17"/>
      <c r="L114" s="17"/>
      <c r="M114" s="18"/>
      <c r="N114" s="19"/>
      <c r="O114" s="19"/>
      <c r="P114" s="17"/>
      <c r="Y114" s="25" t="e">
        <f>INT(INDEX('Dados Consolidados'!$R$2:$R$38, MATCH(A114, 'Dados Consolidados'!$A$2:$A$38, 0)))</f>
        <v>#N/A</v>
      </c>
      <c r="Z114" s="25" t="e">
        <f>INT(INDEX('Dados Consolidados'!$S$2:$S$38, MATCH(B114, 'Dados Consolidados'!$B$2:$B$38, 0)))</f>
        <v>#N/A</v>
      </c>
      <c r="AA114" s="25" t="e">
        <f>INT(INDEX('Dados Consolidados'!$T$2:$T$38, MATCH(E114, 'Dados Consolidados'!$E$2:$E$38, 0)))</f>
        <v>#N/A</v>
      </c>
      <c r="AB114" s="25" t="e">
        <f>INT(INDEX('Dados Consolidados'!$U$2:$U$38, MATCH(H114, 'Dados Consolidados'!$H$2:$H$38, 0)))</f>
        <v>#N/A</v>
      </c>
      <c r="AC114" s="25" t="e">
        <f>INT(INDEX('Dados Consolidados'!$V$2:$V$38, MATCH(J114, 'Dados Consolidados'!$J$2:$J$38, 0)))</f>
        <v>#N/A</v>
      </c>
      <c r="AD114" s="25" t="e">
        <f>INT(INDEX('Dados Consolidados'!$W$2:$W$38, MATCH(P114, 'Dados Consolidados'!$P$2:$P$38, 0)))</f>
        <v>#N/A</v>
      </c>
    </row>
    <row r="115" spans="1:30" ht="20.100000000000001" customHeight="1" x14ac:dyDescent="0.25">
      <c r="A115" s="24"/>
      <c r="B115" s="24"/>
      <c r="E115" s="17"/>
      <c r="F115" s="17"/>
      <c r="G115" s="17"/>
      <c r="H115" s="17"/>
      <c r="I115" s="42"/>
      <c r="J115" s="42"/>
      <c r="K115" s="17"/>
      <c r="L115" s="17"/>
      <c r="M115" s="18"/>
      <c r="N115" s="19"/>
      <c r="O115" s="19"/>
      <c r="P115" s="17"/>
      <c r="Y115" s="25" t="e">
        <f>INT(INDEX('Dados Consolidados'!$R$2:$R$38, MATCH(A115, 'Dados Consolidados'!$A$2:$A$38, 0)))</f>
        <v>#N/A</v>
      </c>
      <c r="Z115" s="25" t="e">
        <f>INT(INDEX('Dados Consolidados'!$S$2:$S$38, MATCH(B115, 'Dados Consolidados'!$B$2:$B$38, 0)))</f>
        <v>#N/A</v>
      </c>
      <c r="AA115" s="25" t="e">
        <f>INT(INDEX('Dados Consolidados'!$T$2:$T$38, MATCH(E115, 'Dados Consolidados'!$E$2:$E$38, 0)))</f>
        <v>#N/A</v>
      </c>
      <c r="AB115" s="25" t="e">
        <f>INT(INDEX('Dados Consolidados'!$U$2:$U$38, MATCH(H115, 'Dados Consolidados'!$H$2:$H$38, 0)))</f>
        <v>#N/A</v>
      </c>
      <c r="AC115" s="25" t="e">
        <f>INT(INDEX('Dados Consolidados'!$V$2:$V$38, MATCH(J115, 'Dados Consolidados'!$J$2:$J$38, 0)))</f>
        <v>#N/A</v>
      </c>
      <c r="AD115" s="25" t="e">
        <f>INT(INDEX('Dados Consolidados'!$W$2:$W$38, MATCH(P115, 'Dados Consolidados'!$P$2:$P$38, 0)))</f>
        <v>#N/A</v>
      </c>
    </row>
    <row r="116" spans="1:30" ht="20.100000000000001" customHeight="1" x14ac:dyDescent="0.25">
      <c r="A116" s="24"/>
      <c r="B116" s="24"/>
      <c r="E116" s="17"/>
      <c r="F116" s="17"/>
      <c r="G116" s="17"/>
      <c r="H116" s="17"/>
      <c r="I116" s="42"/>
      <c r="J116" s="42"/>
      <c r="K116" s="17"/>
      <c r="L116" s="17"/>
      <c r="M116" s="18"/>
      <c r="N116" s="19"/>
      <c r="O116" s="19"/>
      <c r="P116" s="17"/>
      <c r="Y116" s="25" t="e">
        <f>INT(INDEX('Dados Consolidados'!$R$2:$R$38, MATCH(A116, 'Dados Consolidados'!$A$2:$A$38, 0)))</f>
        <v>#N/A</v>
      </c>
      <c r="Z116" s="25" t="e">
        <f>INT(INDEX('Dados Consolidados'!$S$2:$S$38, MATCH(B116, 'Dados Consolidados'!$B$2:$B$38, 0)))</f>
        <v>#N/A</v>
      </c>
      <c r="AA116" s="25" t="e">
        <f>INT(INDEX('Dados Consolidados'!$T$2:$T$38, MATCH(E116, 'Dados Consolidados'!$E$2:$E$38, 0)))</f>
        <v>#N/A</v>
      </c>
      <c r="AB116" s="25" t="e">
        <f>INT(INDEX('Dados Consolidados'!$U$2:$U$38, MATCH(H116, 'Dados Consolidados'!$H$2:$H$38, 0)))</f>
        <v>#N/A</v>
      </c>
      <c r="AC116" s="25" t="e">
        <f>INT(INDEX('Dados Consolidados'!$V$2:$V$38, MATCH(J116, 'Dados Consolidados'!$J$2:$J$38, 0)))</f>
        <v>#N/A</v>
      </c>
      <c r="AD116" s="25" t="e">
        <f>INT(INDEX('Dados Consolidados'!$W$2:$W$38, MATCH(P116, 'Dados Consolidados'!$P$2:$P$38, 0)))</f>
        <v>#N/A</v>
      </c>
    </row>
    <row r="117" spans="1:30" ht="20.100000000000001" customHeight="1" x14ac:dyDescent="0.25">
      <c r="A117" s="24"/>
      <c r="B117" s="24"/>
      <c r="E117" s="17"/>
      <c r="F117" s="17"/>
      <c r="G117" s="17"/>
      <c r="H117" s="17"/>
      <c r="I117" s="42"/>
      <c r="J117" s="42"/>
      <c r="K117" s="17"/>
      <c r="L117" s="17"/>
      <c r="M117" s="18"/>
      <c r="N117" s="19"/>
      <c r="O117" s="19"/>
      <c r="P117" s="17"/>
      <c r="Y117" s="25" t="e">
        <f>INT(INDEX('Dados Consolidados'!$R$2:$R$38, MATCH(A117, 'Dados Consolidados'!$A$2:$A$38, 0)))</f>
        <v>#N/A</v>
      </c>
      <c r="Z117" s="25" t="e">
        <f>INT(INDEX('Dados Consolidados'!$S$2:$S$38, MATCH(B117, 'Dados Consolidados'!$B$2:$B$38, 0)))</f>
        <v>#N/A</v>
      </c>
      <c r="AA117" s="25" t="e">
        <f>INT(INDEX('Dados Consolidados'!$T$2:$T$38, MATCH(E117, 'Dados Consolidados'!$E$2:$E$38, 0)))</f>
        <v>#N/A</v>
      </c>
      <c r="AB117" s="25" t="e">
        <f>INT(INDEX('Dados Consolidados'!$U$2:$U$38, MATCH(H117, 'Dados Consolidados'!$H$2:$H$38, 0)))</f>
        <v>#N/A</v>
      </c>
      <c r="AC117" s="25" t="e">
        <f>INT(INDEX('Dados Consolidados'!$V$2:$V$38, MATCH(J117, 'Dados Consolidados'!$J$2:$J$38, 0)))</f>
        <v>#N/A</v>
      </c>
      <c r="AD117" s="25" t="e">
        <f>INT(INDEX('Dados Consolidados'!$W$2:$W$38, MATCH(P117, 'Dados Consolidados'!$P$2:$P$38, 0)))</f>
        <v>#N/A</v>
      </c>
    </row>
    <row r="118" spans="1:30" ht="20.100000000000001" customHeight="1" x14ac:dyDescent="0.25">
      <c r="A118" s="24"/>
      <c r="B118" s="24"/>
      <c r="E118" s="17"/>
      <c r="F118" s="17"/>
      <c r="G118" s="17"/>
      <c r="H118" s="17"/>
      <c r="I118" s="42"/>
      <c r="J118" s="42"/>
      <c r="K118" s="17"/>
      <c r="L118" s="17"/>
      <c r="M118" s="18"/>
      <c r="N118" s="19"/>
      <c r="O118" s="19"/>
      <c r="P118" s="17"/>
      <c r="Y118" s="25" t="e">
        <f>INT(INDEX('Dados Consolidados'!$R$2:$R$38, MATCH(A118, 'Dados Consolidados'!$A$2:$A$38, 0)))</f>
        <v>#N/A</v>
      </c>
      <c r="Z118" s="25" t="e">
        <f>INT(INDEX('Dados Consolidados'!$S$2:$S$38, MATCH(B118, 'Dados Consolidados'!$B$2:$B$38, 0)))</f>
        <v>#N/A</v>
      </c>
      <c r="AA118" s="25" t="e">
        <f>INT(INDEX('Dados Consolidados'!$T$2:$T$38, MATCH(E118, 'Dados Consolidados'!$E$2:$E$38, 0)))</f>
        <v>#N/A</v>
      </c>
      <c r="AB118" s="25" t="e">
        <f>INT(INDEX('Dados Consolidados'!$U$2:$U$38, MATCH(H118, 'Dados Consolidados'!$H$2:$H$38, 0)))</f>
        <v>#N/A</v>
      </c>
      <c r="AC118" s="25" t="e">
        <f>INT(INDEX('Dados Consolidados'!$V$2:$V$38, MATCH(J118, 'Dados Consolidados'!$J$2:$J$38, 0)))</f>
        <v>#N/A</v>
      </c>
      <c r="AD118" s="25" t="e">
        <f>INT(INDEX('Dados Consolidados'!$W$2:$W$38, MATCH(P118, 'Dados Consolidados'!$P$2:$P$38, 0)))</f>
        <v>#N/A</v>
      </c>
    </row>
    <row r="119" spans="1:30" ht="20.100000000000001" customHeight="1" x14ac:dyDescent="0.25">
      <c r="A119" s="24"/>
      <c r="B119" s="24"/>
      <c r="E119" s="17"/>
      <c r="F119" s="17"/>
      <c r="G119" s="17"/>
      <c r="H119" s="17"/>
      <c r="I119" s="42"/>
      <c r="J119" s="42"/>
      <c r="K119" s="17"/>
      <c r="L119" s="17"/>
      <c r="M119" s="18"/>
      <c r="N119" s="19"/>
      <c r="O119" s="19"/>
      <c r="P119" s="17"/>
      <c r="Y119" s="25" t="e">
        <f>INT(INDEX('Dados Consolidados'!$R$2:$R$38, MATCH(A119, 'Dados Consolidados'!$A$2:$A$38, 0)))</f>
        <v>#N/A</v>
      </c>
      <c r="Z119" s="25" t="e">
        <f>INT(INDEX('Dados Consolidados'!$S$2:$S$38, MATCH(B119, 'Dados Consolidados'!$B$2:$B$38, 0)))</f>
        <v>#N/A</v>
      </c>
      <c r="AA119" s="25" t="e">
        <f>INT(INDEX('Dados Consolidados'!$T$2:$T$38, MATCH(E119, 'Dados Consolidados'!$E$2:$E$38, 0)))</f>
        <v>#N/A</v>
      </c>
      <c r="AB119" s="25" t="e">
        <f>INT(INDEX('Dados Consolidados'!$U$2:$U$38, MATCH(H119, 'Dados Consolidados'!$H$2:$H$38, 0)))</f>
        <v>#N/A</v>
      </c>
      <c r="AC119" s="25" t="e">
        <f>INT(INDEX('Dados Consolidados'!$V$2:$V$38, MATCH(J119, 'Dados Consolidados'!$J$2:$J$38, 0)))</f>
        <v>#N/A</v>
      </c>
      <c r="AD119" s="25" t="e">
        <f>INT(INDEX('Dados Consolidados'!$W$2:$W$38, MATCH(P119, 'Dados Consolidados'!$P$2:$P$38, 0)))</f>
        <v>#N/A</v>
      </c>
    </row>
    <row r="120" spans="1:30" ht="20.100000000000001" customHeight="1" x14ac:dyDescent="0.25">
      <c r="A120" s="24"/>
      <c r="B120" s="24"/>
      <c r="E120" s="17"/>
      <c r="F120" s="17"/>
      <c r="G120" s="17"/>
      <c r="H120" s="17"/>
      <c r="I120" s="42"/>
      <c r="J120" s="42"/>
      <c r="K120" s="17"/>
      <c r="L120" s="17"/>
      <c r="M120" s="18"/>
      <c r="N120" s="19"/>
      <c r="O120" s="19"/>
      <c r="P120" s="17"/>
      <c r="Y120" s="25" t="e">
        <f>INT(INDEX('Dados Consolidados'!$R$2:$R$38, MATCH(A120, 'Dados Consolidados'!$A$2:$A$38, 0)))</f>
        <v>#N/A</v>
      </c>
      <c r="Z120" s="25" t="e">
        <f>INT(INDEX('Dados Consolidados'!$S$2:$S$38, MATCH(B120, 'Dados Consolidados'!$B$2:$B$38, 0)))</f>
        <v>#N/A</v>
      </c>
      <c r="AA120" s="25" t="e">
        <f>INT(INDEX('Dados Consolidados'!$T$2:$T$38, MATCH(E120, 'Dados Consolidados'!$E$2:$E$38, 0)))</f>
        <v>#N/A</v>
      </c>
      <c r="AB120" s="25" t="e">
        <f>INT(INDEX('Dados Consolidados'!$U$2:$U$38, MATCH(H120, 'Dados Consolidados'!$H$2:$H$38, 0)))</f>
        <v>#N/A</v>
      </c>
      <c r="AC120" s="25" t="e">
        <f>INT(INDEX('Dados Consolidados'!$V$2:$V$38, MATCH(J120, 'Dados Consolidados'!$J$2:$J$38, 0)))</f>
        <v>#N/A</v>
      </c>
      <c r="AD120" s="25" t="e">
        <f>INT(INDEX('Dados Consolidados'!$W$2:$W$38, MATCH(P120, 'Dados Consolidados'!$P$2:$P$38, 0)))</f>
        <v>#N/A</v>
      </c>
    </row>
    <row r="121" spans="1:30" ht="20.100000000000001" customHeight="1" x14ac:dyDescent="0.25">
      <c r="A121" s="24"/>
      <c r="B121" s="24"/>
      <c r="E121" s="17"/>
      <c r="F121" s="17"/>
      <c r="G121" s="17"/>
      <c r="H121" s="17"/>
      <c r="I121" s="42"/>
      <c r="J121" s="42"/>
      <c r="K121" s="17"/>
      <c r="L121" s="17"/>
      <c r="M121" s="18"/>
      <c r="N121" s="19"/>
      <c r="O121" s="19"/>
      <c r="P121" s="17"/>
      <c r="Y121" s="25" t="e">
        <f>INT(INDEX('Dados Consolidados'!$R$2:$R$38, MATCH(A121, 'Dados Consolidados'!$A$2:$A$38, 0)))</f>
        <v>#N/A</v>
      </c>
      <c r="Z121" s="25" t="e">
        <f>INT(INDEX('Dados Consolidados'!$S$2:$S$38, MATCH(B121, 'Dados Consolidados'!$B$2:$B$38, 0)))</f>
        <v>#N/A</v>
      </c>
      <c r="AA121" s="25" t="e">
        <f>INT(INDEX('Dados Consolidados'!$T$2:$T$38, MATCH(E121, 'Dados Consolidados'!$E$2:$E$38, 0)))</f>
        <v>#N/A</v>
      </c>
      <c r="AB121" s="25" t="e">
        <f>INT(INDEX('Dados Consolidados'!$U$2:$U$38, MATCH(H121, 'Dados Consolidados'!$H$2:$H$38, 0)))</f>
        <v>#N/A</v>
      </c>
      <c r="AC121" s="25" t="e">
        <f>INT(INDEX('Dados Consolidados'!$V$2:$V$38, MATCH(J121, 'Dados Consolidados'!$J$2:$J$38, 0)))</f>
        <v>#N/A</v>
      </c>
      <c r="AD121" s="25" t="e">
        <f>INT(INDEX('Dados Consolidados'!$W$2:$W$38, MATCH(P121, 'Dados Consolidados'!$P$2:$P$38, 0)))</f>
        <v>#N/A</v>
      </c>
    </row>
    <row r="122" spans="1:30" ht="20.100000000000001" customHeight="1" x14ac:dyDescent="0.25">
      <c r="A122" s="24"/>
      <c r="B122" s="24"/>
      <c r="E122" s="17"/>
      <c r="F122" s="17"/>
      <c r="G122" s="17"/>
      <c r="H122" s="17"/>
      <c r="I122" s="42"/>
      <c r="J122" s="42"/>
      <c r="K122" s="17"/>
      <c r="L122" s="17"/>
      <c r="M122" s="18"/>
      <c r="N122" s="19"/>
      <c r="O122" s="19"/>
      <c r="P122" s="17"/>
      <c r="Y122" s="25" t="e">
        <f>INT(INDEX('Dados Consolidados'!$R$2:$R$38, MATCH(A122, 'Dados Consolidados'!$A$2:$A$38, 0)))</f>
        <v>#N/A</v>
      </c>
      <c r="Z122" s="25" t="e">
        <f>INT(INDEX('Dados Consolidados'!$S$2:$S$38, MATCH(B122, 'Dados Consolidados'!$B$2:$B$38, 0)))</f>
        <v>#N/A</v>
      </c>
      <c r="AA122" s="25" t="e">
        <f>INT(INDEX('Dados Consolidados'!$T$2:$T$38, MATCH(E122, 'Dados Consolidados'!$E$2:$E$38, 0)))</f>
        <v>#N/A</v>
      </c>
      <c r="AB122" s="25" t="e">
        <f>INT(INDEX('Dados Consolidados'!$U$2:$U$38, MATCH(H122, 'Dados Consolidados'!$H$2:$H$38, 0)))</f>
        <v>#N/A</v>
      </c>
      <c r="AC122" s="25" t="e">
        <f>INT(INDEX('Dados Consolidados'!$V$2:$V$38, MATCH(J122, 'Dados Consolidados'!$J$2:$J$38, 0)))</f>
        <v>#N/A</v>
      </c>
      <c r="AD122" s="25" t="e">
        <f>INT(INDEX('Dados Consolidados'!$W$2:$W$38, MATCH(P122, 'Dados Consolidados'!$P$2:$P$38, 0)))</f>
        <v>#N/A</v>
      </c>
    </row>
    <row r="123" spans="1:30" ht="20.100000000000001" customHeight="1" x14ac:dyDescent="0.25">
      <c r="A123" s="24"/>
      <c r="B123" s="24"/>
      <c r="E123" s="17"/>
      <c r="F123" s="17"/>
      <c r="G123" s="17"/>
      <c r="H123" s="17"/>
      <c r="I123" s="42"/>
      <c r="J123" s="42"/>
      <c r="K123" s="17"/>
      <c r="L123" s="17"/>
      <c r="M123" s="18"/>
      <c r="N123" s="19"/>
      <c r="O123" s="19"/>
      <c r="P123" s="17"/>
      <c r="Y123" s="25" t="e">
        <f>INT(INDEX('Dados Consolidados'!$R$2:$R$38, MATCH(A123, 'Dados Consolidados'!$A$2:$A$38, 0)))</f>
        <v>#N/A</v>
      </c>
      <c r="Z123" s="25" t="e">
        <f>INT(INDEX('Dados Consolidados'!$S$2:$S$38, MATCH(B123, 'Dados Consolidados'!$B$2:$B$38, 0)))</f>
        <v>#N/A</v>
      </c>
      <c r="AA123" s="25" t="e">
        <f>INT(INDEX('Dados Consolidados'!$T$2:$T$38, MATCH(E123, 'Dados Consolidados'!$E$2:$E$38, 0)))</f>
        <v>#N/A</v>
      </c>
      <c r="AB123" s="25" t="e">
        <f>INT(INDEX('Dados Consolidados'!$U$2:$U$38, MATCH(H123, 'Dados Consolidados'!$H$2:$H$38, 0)))</f>
        <v>#N/A</v>
      </c>
      <c r="AC123" s="25" t="e">
        <f>INT(INDEX('Dados Consolidados'!$V$2:$V$38, MATCH(J123, 'Dados Consolidados'!$J$2:$J$38, 0)))</f>
        <v>#N/A</v>
      </c>
      <c r="AD123" s="25" t="e">
        <f>INT(INDEX('Dados Consolidados'!$W$2:$W$38, MATCH(P123, 'Dados Consolidados'!$P$2:$P$38, 0)))</f>
        <v>#N/A</v>
      </c>
    </row>
    <row r="124" spans="1:30" ht="20.100000000000001" customHeight="1" x14ac:dyDescent="0.25">
      <c r="A124" s="24"/>
      <c r="B124" s="24"/>
      <c r="E124" s="17"/>
      <c r="F124" s="17"/>
      <c r="G124" s="17"/>
      <c r="H124" s="17"/>
      <c r="I124" s="42"/>
      <c r="J124" s="42"/>
      <c r="K124" s="17"/>
      <c r="L124" s="17"/>
      <c r="M124" s="18"/>
      <c r="N124" s="19"/>
      <c r="O124" s="19"/>
      <c r="P124" s="17"/>
      <c r="Y124" s="25" t="e">
        <f>INT(INDEX('Dados Consolidados'!$R$2:$R$38, MATCH(A124, 'Dados Consolidados'!$A$2:$A$38, 0)))</f>
        <v>#N/A</v>
      </c>
      <c r="Z124" s="25" t="e">
        <f>INT(INDEX('Dados Consolidados'!$S$2:$S$38, MATCH(B124, 'Dados Consolidados'!$B$2:$B$38, 0)))</f>
        <v>#N/A</v>
      </c>
      <c r="AA124" s="25" t="e">
        <f>INT(INDEX('Dados Consolidados'!$T$2:$T$38, MATCH(E124, 'Dados Consolidados'!$E$2:$E$38, 0)))</f>
        <v>#N/A</v>
      </c>
      <c r="AB124" s="25" t="e">
        <f>INT(INDEX('Dados Consolidados'!$U$2:$U$38, MATCH(H124, 'Dados Consolidados'!$H$2:$H$38, 0)))</f>
        <v>#N/A</v>
      </c>
      <c r="AC124" s="25" t="e">
        <f>INT(INDEX('Dados Consolidados'!$V$2:$V$38, MATCH(J124, 'Dados Consolidados'!$J$2:$J$38, 0)))</f>
        <v>#N/A</v>
      </c>
      <c r="AD124" s="25" t="e">
        <f>INT(INDEX('Dados Consolidados'!$W$2:$W$38, MATCH(P124, 'Dados Consolidados'!$P$2:$P$38, 0)))</f>
        <v>#N/A</v>
      </c>
    </row>
    <row r="125" spans="1:30" ht="20.100000000000001" customHeight="1" x14ac:dyDescent="0.25">
      <c r="A125" s="24"/>
      <c r="B125" s="24"/>
      <c r="E125" s="17"/>
      <c r="F125" s="17"/>
      <c r="G125" s="17"/>
      <c r="H125" s="17"/>
      <c r="I125" s="42"/>
      <c r="J125" s="42"/>
      <c r="K125" s="17"/>
      <c r="L125" s="17"/>
      <c r="M125" s="18"/>
      <c r="N125" s="19"/>
      <c r="O125" s="19"/>
      <c r="P125" s="17"/>
      <c r="Y125" s="25" t="e">
        <f>INT(INDEX('Dados Consolidados'!$R$2:$R$38, MATCH(A125, 'Dados Consolidados'!$A$2:$A$38, 0)))</f>
        <v>#N/A</v>
      </c>
      <c r="Z125" s="25" t="e">
        <f>INT(INDEX('Dados Consolidados'!$S$2:$S$38, MATCH(B125, 'Dados Consolidados'!$B$2:$B$38, 0)))</f>
        <v>#N/A</v>
      </c>
      <c r="AA125" s="25" t="e">
        <f>INT(INDEX('Dados Consolidados'!$T$2:$T$38, MATCH(E125, 'Dados Consolidados'!$E$2:$E$38, 0)))</f>
        <v>#N/A</v>
      </c>
      <c r="AB125" s="25" t="e">
        <f>INT(INDEX('Dados Consolidados'!$U$2:$U$38, MATCH(H125, 'Dados Consolidados'!$H$2:$H$38, 0)))</f>
        <v>#N/A</v>
      </c>
      <c r="AC125" s="25" t="e">
        <f>INT(INDEX('Dados Consolidados'!$V$2:$V$38, MATCH(J125, 'Dados Consolidados'!$J$2:$J$38, 0)))</f>
        <v>#N/A</v>
      </c>
      <c r="AD125" s="25" t="e">
        <f>INT(INDEX('Dados Consolidados'!$W$2:$W$38, MATCH(P125, 'Dados Consolidados'!$P$2:$P$38, 0)))</f>
        <v>#N/A</v>
      </c>
    </row>
    <row r="126" spans="1:30" ht="20.100000000000001" customHeight="1" x14ac:dyDescent="0.25">
      <c r="A126" s="24"/>
      <c r="B126" s="24"/>
      <c r="E126" s="17"/>
      <c r="F126" s="17"/>
      <c r="G126" s="17"/>
      <c r="H126" s="17"/>
      <c r="I126" s="42"/>
      <c r="J126" s="42"/>
      <c r="K126" s="17"/>
      <c r="L126" s="17"/>
      <c r="M126" s="18"/>
      <c r="N126" s="19"/>
      <c r="O126" s="19"/>
      <c r="P126" s="17"/>
      <c r="Y126" s="25" t="e">
        <f>INT(INDEX('Dados Consolidados'!$R$2:$R$38, MATCH(A126, 'Dados Consolidados'!$A$2:$A$38, 0)))</f>
        <v>#N/A</v>
      </c>
      <c r="Z126" s="25" t="e">
        <f>INT(INDEX('Dados Consolidados'!$S$2:$S$38, MATCH(B126, 'Dados Consolidados'!$B$2:$B$38, 0)))</f>
        <v>#N/A</v>
      </c>
      <c r="AA126" s="25" t="e">
        <f>INT(INDEX('Dados Consolidados'!$T$2:$T$38, MATCH(E126, 'Dados Consolidados'!$E$2:$E$38, 0)))</f>
        <v>#N/A</v>
      </c>
      <c r="AB126" s="25" t="e">
        <f>INT(INDEX('Dados Consolidados'!$U$2:$U$38, MATCH(H126, 'Dados Consolidados'!$H$2:$H$38, 0)))</f>
        <v>#N/A</v>
      </c>
      <c r="AC126" s="25" t="e">
        <f>INT(INDEX('Dados Consolidados'!$V$2:$V$38, MATCH(J126, 'Dados Consolidados'!$J$2:$J$38, 0)))</f>
        <v>#N/A</v>
      </c>
      <c r="AD126" s="25" t="e">
        <f>INT(INDEX('Dados Consolidados'!$W$2:$W$38, MATCH(P126, 'Dados Consolidados'!$P$2:$P$38, 0)))</f>
        <v>#N/A</v>
      </c>
    </row>
    <row r="127" spans="1:30" ht="20.100000000000001" customHeight="1" x14ac:dyDescent="0.25">
      <c r="A127" s="24"/>
      <c r="B127" s="24"/>
      <c r="E127" s="17"/>
      <c r="F127" s="17"/>
      <c r="G127" s="17"/>
      <c r="H127" s="17"/>
      <c r="I127" s="42"/>
      <c r="J127" s="42"/>
      <c r="K127" s="17"/>
      <c r="L127" s="17"/>
      <c r="M127" s="18"/>
      <c r="N127" s="19"/>
      <c r="O127" s="19"/>
      <c r="P127" s="17"/>
      <c r="Y127" s="25" t="e">
        <f>INT(INDEX('Dados Consolidados'!$R$2:$R$38, MATCH(A127, 'Dados Consolidados'!$A$2:$A$38, 0)))</f>
        <v>#N/A</v>
      </c>
      <c r="Z127" s="25" t="e">
        <f>INT(INDEX('Dados Consolidados'!$S$2:$S$38, MATCH(B127, 'Dados Consolidados'!$B$2:$B$38, 0)))</f>
        <v>#N/A</v>
      </c>
      <c r="AA127" s="25" t="e">
        <f>INT(INDEX('Dados Consolidados'!$T$2:$T$38, MATCH(E127, 'Dados Consolidados'!$E$2:$E$38, 0)))</f>
        <v>#N/A</v>
      </c>
      <c r="AB127" s="25" t="e">
        <f>INT(INDEX('Dados Consolidados'!$U$2:$U$38, MATCH(H127, 'Dados Consolidados'!$H$2:$H$38, 0)))</f>
        <v>#N/A</v>
      </c>
      <c r="AC127" s="25" t="e">
        <f>INT(INDEX('Dados Consolidados'!$V$2:$V$38, MATCH(J127, 'Dados Consolidados'!$J$2:$J$38, 0)))</f>
        <v>#N/A</v>
      </c>
      <c r="AD127" s="25" t="e">
        <f>INT(INDEX('Dados Consolidados'!$W$2:$W$38, MATCH(P127, 'Dados Consolidados'!$P$2:$P$38, 0)))</f>
        <v>#N/A</v>
      </c>
    </row>
    <row r="128" spans="1:30" ht="20.100000000000001" customHeight="1" x14ac:dyDescent="0.25">
      <c r="A128" s="24"/>
      <c r="B128" s="24"/>
      <c r="E128" s="17"/>
      <c r="F128" s="17"/>
      <c r="G128" s="17"/>
      <c r="H128" s="17"/>
      <c r="I128" s="42"/>
      <c r="J128" s="42"/>
      <c r="K128" s="17"/>
      <c r="L128" s="17"/>
      <c r="M128" s="18"/>
      <c r="N128" s="19"/>
      <c r="O128" s="19"/>
      <c r="P128" s="17"/>
      <c r="Y128" s="25" t="e">
        <f>INT(INDEX('Dados Consolidados'!$R$2:$R$38, MATCH(A128, 'Dados Consolidados'!$A$2:$A$38, 0)))</f>
        <v>#N/A</v>
      </c>
      <c r="Z128" s="25" t="e">
        <f>INT(INDEX('Dados Consolidados'!$S$2:$S$38, MATCH(B128, 'Dados Consolidados'!$B$2:$B$38, 0)))</f>
        <v>#N/A</v>
      </c>
      <c r="AA128" s="25" t="e">
        <f>INT(INDEX('Dados Consolidados'!$T$2:$T$38, MATCH(E128, 'Dados Consolidados'!$E$2:$E$38, 0)))</f>
        <v>#N/A</v>
      </c>
      <c r="AB128" s="25" t="e">
        <f>INT(INDEX('Dados Consolidados'!$U$2:$U$38, MATCH(H128, 'Dados Consolidados'!$H$2:$H$38, 0)))</f>
        <v>#N/A</v>
      </c>
      <c r="AC128" s="25" t="e">
        <f>INT(INDEX('Dados Consolidados'!$V$2:$V$38, MATCH(J128, 'Dados Consolidados'!$J$2:$J$38, 0)))</f>
        <v>#N/A</v>
      </c>
      <c r="AD128" s="25" t="e">
        <f>INT(INDEX('Dados Consolidados'!$W$2:$W$38, MATCH(P128, 'Dados Consolidados'!$P$2:$P$38, 0)))</f>
        <v>#N/A</v>
      </c>
    </row>
    <row r="129" spans="1:30" ht="20.100000000000001" customHeight="1" x14ac:dyDescent="0.25">
      <c r="A129" s="24"/>
      <c r="B129" s="24"/>
      <c r="E129" s="17"/>
      <c r="F129" s="17"/>
      <c r="G129" s="17"/>
      <c r="H129" s="17"/>
      <c r="I129" s="42"/>
      <c r="J129" s="42"/>
      <c r="K129" s="17"/>
      <c r="L129" s="17"/>
      <c r="M129" s="18"/>
      <c r="N129" s="19"/>
      <c r="O129" s="19"/>
      <c r="P129" s="17"/>
      <c r="Y129" s="25" t="e">
        <f>INT(INDEX('Dados Consolidados'!$R$2:$R$38, MATCH(A129, 'Dados Consolidados'!$A$2:$A$38, 0)))</f>
        <v>#N/A</v>
      </c>
      <c r="Z129" s="25" t="e">
        <f>INT(INDEX('Dados Consolidados'!$S$2:$S$38, MATCH(B129, 'Dados Consolidados'!$B$2:$B$38, 0)))</f>
        <v>#N/A</v>
      </c>
      <c r="AA129" s="25" t="e">
        <f>INT(INDEX('Dados Consolidados'!$T$2:$T$38, MATCH(E129, 'Dados Consolidados'!$E$2:$E$38, 0)))</f>
        <v>#N/A</v>
      </c>
      <c r="AB129" s="25" t="e">
        <f>INT(INDEX('Dados Consolidados'!$U$2:$U$38, MATCH(H129, 'Dados Consolidados'!$H$2:$H$38, 0)))</f>
        <v>#N/A</v>
      </c>
      <c r="AC129" s="25" t="e">
        <f>INT(INDEX('Dados Consolidados'!$V$2:$V$38, MATCH(J129, 'Dados Consolidados'!$J$2:$J$38, 0)))</f>
        <v>#N/A</v>
      </c>
      <c r="AD129" s="25" t="e">
        <f>INT(INDEX('Dados Consolidados'!$W$2:$W$38, MATCH(P129, 'Dados Consolidados'!$P$2:$P$38, 0)))</f>
        <v>#N/A</v>
      </c>
    </row>
    <row r="130" spans="1:30" ht="20.100000000000001" customHeight="1" x14ac:dyDescent="0.25">
      <c r="A130" s="24"/>
      <c r="B130" s="24"/>
      <c r="E130" s="17"/>
      <c r="F130" s="17"/>
      <c r="G130" s="17"/>
      <c r="H130" s="17"/>
      <c r="I130" s="42"/>
      <c r="J130" s="42"/>
      <c r="K130" s="17"/>
      <c r="L130" s="17"/>
      <c r="M130" s="18"/>
      <c r="N130" s="19"/>
      <c r="O130" s="19"/>
      <c r="P130" s="17"/>
      <c r="Y130" s="25" t="e">
        <f>INT(INDEX('Dados Consolidados'!$R$2:$R$38, MATCH(A130, 'Dados Consolidados'!$A$2:$A$38, 0)))</f>
        <v>#N/A</v>
      </c>
      <c r="Z130" s="25" t="e">
        <f>INT(INDEX('Dados Consolidados'!$S$2:$S$38, MATCH(B130, 'Dados Consolidados'!$B$2:$B$38, 0)))</f>
        <v>#N/A</v>
      </c>
      <c r="AA130" s="25" t="e">
        <f>INT(INDEX('Dados Consolidados'!$T$2:$T$38, MATCH(E130, 'Dados Consolidados'!$E$2:$E$38, 0)))</f>
        <v>#N/A</v>
      </c>
      <c r="AB130" s="25" t="e">
        <f>INT(INDEX('Dados Consolidados'!$U$2:$U$38, MATCH(H130, 'Dados Consolidados'!$H$2:$H$38, 0)))</f>
        <v>#N/A</v>
      </c>
      <c r="AC130" s="25" t="e">
        <f>INT(INDEX('Dados Consolidados'!$V$2:$V$38, MATCH(J130, 'Dados Consolidados'!$J$2:$J$38, 0)))</f>
        <v>#N/A</v>
      </c>
      <c r="AD130" s="25" t="e">
        <f>INT(INDEX('Dados Consolidados'!$W$2:$W$38, MATCH(P130, 'Dados Consolidados'!$P$2:$P$38, 0)))</f>
        <v>#N/A</v>
      </c>
    </row>
    <row r="131" spans="1:30" ht="20.100000000000001" customHeight="1" x14ac:dyDescent="0.25">
      <c r="A131" s="24"/>
      <c r="B131" s="24"/>
      <c r="E131" s="17"/>
      <c r="F131" s="17"/>
      <c r="G131" s="17"/>
      <c r="H131" s="17"/>
      <c r="I131" s="42"/>
      <c r="J131" s="42"/>
      <c r="K131" s="17"/>
      <c r="L131" s="17"/>
      <c r="M131" s="18"/>
      <c r="N131" s="19"/>
      <c r="O131" s="19"/>
      <c r="P131" s="17"/>
      <c r="Y131" s="25" t="e">
        <f>INT(INDEX('Dados Consolidados'!$R$2:$R$38, MATCH(A131, 'Dados Consolidados'!$A$2:$A$38, 0)))</f>
        <v>#N/A</v>
      </c>
      <c r="Z131" s="25" t="e">
        <f>INT(INDEX('Dados Consolidados'!$S$2:$S$38, MATCH(B131, 'Dados Consolidados'!$B$2:$B$38, 0)))</f>
        <v>#N/A</v>
      </c>
      <c r="AA131" s="25" t="e">
        <f>INT(INDEX('Dados Consolidados'!$T$2:$T$38, MATCH(E131, 'Dados Consolidados'!$E$2:$E$38, 0)))</f>
        <v>#N/A</v>
      </c>
      <c r="AB131" s="25" t="e">
        <f>INT(INDEX('Dados Consolidados'!$U$2:$U$38, MATCH(H131, 'Dados Consolidados'!$H$2:$H$38, 0)))</f>
        <v>#N/A</v>
      </c>
      <c r="AC131" s="25" t="e">
        <f>INT(INDEX('Dados Consolidados'!$V$2:$V$38, MATCH(J131, 'Dados Consolidados'!$J$2:$J$38, 0)))</f>
        <v>#N/A</v>
      </c>
      <c r="AD131" s="25" t="e">
        <f>INT(INDEX('Dados Consolidados'!$W$2:$W$38, MATCH(P131, 'Dados Consolidados'!$P$2:$P$38, 0)))</f>
        <v>#N/A</v>
      </c>
    </row>
    <row r="132" spans="1:30" ht="20.100000000000001" customHeight="1" x14ac:dyDescent="0.25">
      <c r="A132" s="24"/>
      <c r="B132" s="24"/>
      <c r="E132" s="17"/>
      <c r="F132" s="17"/>
      <c r="G132" s="17"/>
      <c r="H132" s="17"/>
      <c r="I132" s="42"/>
      <c r="J132" s="42"/>
      <c r="K132" s="17"/>
      <c r="L132" s="17"/>
      <c r="M132" s="18"/>
      <c r="N132" s="19"/>
      <c r="O132" s="19"/>
      <c r="P132" s="17"/>
      <c r="Y132" s="25" t="e">
        <f>INT(INDEX('Dados Consolidados'!$R$2:$R$38, MATCH(A132, 'Dados Consolidados'!$A$2:$A$38, 0)))</f>
        <v>#N/A</v>
      </c>
      <c r="Z132" s="25" t="e">
        <f>INT(INDEX('Dados Consolidados'!$S$2:$S$38, MATCH(B132, 'Dados Consolidados'!$B$2:$B$38, 0)))</f>
        <v>#N/A</v>
      </c>
      <c r="AA132" s="25" t="e">
        <f>INT(INDEX('Dados Consolidados'!$T$2:$T$38, MATCH(E132, 'Dados Consolidados'!$E$2:$E$38, 0)))</f>
        <v>#N/A</v>
      </c>
      <c r="AB132" s="25" t="e">
        <f>INT(INDEX('Dados Consolidados'!$U$2:$U$38, MATCH(H132, 'Dados Consolidados'!$H$2:$H$38, 0)))</f>
        <v>#N/A</v>
      </c>
      <c r="AC132" s="25" t="e">
        <f>INT(INDEX('Dados Consolidados'!$V$2:$V$38, MATCH(J132, 'Dados Consolidados'!$J$2:$J$38, 0)))</f>
        <v>#N/A</v>
      </c>
      <c r="AD132" s="25" t="e">
        <f>INT(INDEX('Dados Consolidados'!$W$2:$W$38, MATCH(P132, 'Dados Consolidados'!$P$2:$P$38, 0)))</f>
        <v>#N/A</v>
      </c>
    </row>
    <row r="133" spans="1:30" ht="20.100000000000001" customHeight="1" x14ac:dyDescent="0.25">
      <c r="A133" s="24"/>
      <c r="B133" s="24"/>
      <c r="E133" s="17"/>
      <c r="F133" s="17"/>
      <c r="G133" s="17"/>
      <c r="H133" s="17"/>
      <c r="I133" s="42"/>
      <c r="J133" s="42"/>
      <c r="K133" s="17"/>
      <c r="L133" s="17"/>
      <c r="M133" s="18"/>
      <c r="N133" s="19"/>
      <c r="O133" s="19"/>
      <c r="P133" s="17"/>
      <c r="Y133" s="25" t="e">
        <f>INT(INDEX('Dados Consolidados'!$R$2:$R$38, MATCH(A133, 'Dados Consolidados'!$A$2:$A$38, 0)))</f>
        <v>#N/A</v>
      </c>
      <c r="Z133" s="25" t="e">
        <f>INT(INDEX('Dados Consolidados'!$S$2:$S$38, MATCH(B133, 'Dados Consolidados'!$B$2:$B$38, 0)))</f>
        <v>#N/A</v>
      </c>
      <c r="AA133" s="25" t="e">
        <f>INT(INDEX('Dados Consolidados'!$T$2:$T$38, MATCH(E133, 'Dados Consolidados'!$E$2:$E$38, 0)))</f>
        <v>#N/A</v>
      </c>
      <c r="AB133" s="25" t="e">
        <f>INT(INDEX('Dados Consolidados'!$U$2:$U$38, MATCH(H133, 'Dados Consolidados'!$H$2:$H$38, 0)))</f>
        <v>#N/A</v>
      </c>
      <c r="AC133" s="25" t="e">
        <f>INT(INDEX('Dados Consolidados'!$V$2:$V$38, MATCH(J133, 'Dados Consolidados'!$J$2:$J$38, 0)))</f>
        <v>#N/A</v>
      </c>
      <c r="AD133" s="25" t="e">
        <f>INT(INDEX('Dados Consolidados'!$W$2:$W$38, MATCH(P133, 'Dados Consolidados'!$P$2:$P$38, 0)))</f>
        <v>#N/A</v>
      </c>
    </row>
    <row r="134" spans="1:30" ht="20.100000000000001" customHeight="1" x14ac:dyDescent="0.25">
      <c r="A134" s="24"/>
      <c r="B134" s="24"/>
      <c r="E134" s="17"/>
      <c r="F134" s="17"/>
      <c r="G134" s="17"/>
      <c r="H134" s="17"/>
      <c r="I134" s="42"/>
      <c r="J134" s="42"/>
      <c r="K134" s="17"/>
      <c r="L134" s="17"/>
      <c r="M134" s="18"/>
      <c r="N134" s="19"/>
      <c r="O134" s="19"/>
      <c r="P134" s="17"/>
      <c r="Y134" s="25" t="e">
        <f>INT(INDEX('Dados Consolidados'!$R$2:$R$38, MATCH(A134, 'Dados Consolidados'!$A$2:$A$38, 0)))</f>
        <v>#N/A</v>
      </c>
      <c r="Z134" s="25" t="e">
        <f>INT(INDEX('Dados Consolidados'!$S$2:$S$38, MATCH(B134, 'Dados Consolidados'!$B$2:$B$38, 0)))</f>
        <v>#N/A</v>
      </c>
      <c r="AA134" s="25" t="e">
        <f>INT(INDEX('Dados Consolidados'!$T$2:$T$38, MATCH(E134, 'Dados Consolidados'!$E$2:$E$38, 0)))</f>
        <v>#N/A</v>
      </c>
      <c r="AB134" s="25" t="e">
        <f>INT(INDEX('Dados Consolidados'!$U$2:$U$38, MATCH(H134, 'Dados Consolidados'!$H$2:$H$38, 0)))</f>
        <v>#N/A</v>
      </c>
      <c r="AC134" s="25" t="e">
        <f>INT(INDEX('Dados Consolidados'!$V$2:$V$38, MATCH(J134, 'Dados Consolidados'!$J$2:$J$38, 0)))</f>
        <v>#N/A</v>
      </c>
      <c r="AD134" s="25" t="e">
        <f>INT(INDEX('Dados Consolidados'!$W$2:$W$38, MATCH(P134, 'Dados Consolidados'!$P$2:$P$38, 0)))</f>
        <v>#N/A</v>
      </c>
    </row>
    <row r="135" spans="1:30" ht="20.100000000000001" customHeight="1" x14ac:dyDescent="0.25">
      <c r="A135" s="24"/>
      <c r="B135" s="24"/>
      <c r="E135" s="17"/>
      <c r="F135" s="17"/>
      <c r="G135" s="17"/>
      <c r="H135" s="17"/>
      <c r="I135" s="42"/>
      <c r="J135" s="42"/>
      <c r="K135" s="17"/>
      <c r="L135" s="17"/>
      <c r="M135" s="18"/>
      <c r="N135" s="19"/>
      <c r="O135" s="19"/>
      <c r="P135" s="17"/>
      <c r="Y135" s="25" t="e">
        <f>INT(INDEX('Dados Consolidados'!$R$2:$R$38, MATCH(A135, 'Dados Consolidados'!$A$2:$A$38, 0)))</f>
        <v>#N/A</v>
      </c>
      <c r="Z135" s="25" t="e">
        <f>INT(INDEX('Dados Consolidados'!$S$2:$S$38, MATCH(B135, 'Dados Consolidados'!$B$2:$B$38, 0)))</f>
        <v>#N/A</v>
      </c>
      <c r="AA135" s="25" t="e">
        <f>INT(INDEX('Dados Consolidados'!$T$2:$T$38, MATCH(E135, 'Dados Consolidados'!$E$2:$E$38, 0)))</f>
        <v>#N/A</v>
      </c>
      <c r="AB135" s="25" t="e">
        <f>INT(INDEX('Dados Consolidados'!$U$2:$U$38, MATCH(H135, 'Dados Consolidados'!$H$2:$H$38, 0)))</f>
        <v>#N/A</v>
      </c>
      <c r="AC135" s="25" t="e">
        <f>INT(INDEX('Dados Consolidados'!$V$2:$V$38, MATCH(J135, 'Dados Consolidados'!$J$2:$J$38, 0)))</f>
        <v>#N/A</v>
      </c>
      <c r="AD135" s="25" t="e">
        <f>INT(INDEX('Dados Consolidados'!$W$2:$W$38, MATCH(P135, 'Dados Consolidados'!$P$2:$P$38, 0)))</f>
        <v>#N/A</v>
      </c>
    </row>
    <row r="136" spans="1:30" ht="20.100000000000001" customHeight="1" x14ac:dyDescent="0.25">
      <c r="A136" s="24"/>
      <c r="B136" s="24"/>
      <c r="E136" s="17"/>
      <c r="F136" s="17"/>
      <c r="G136" s="17"/>
      <c r="H136" s="17"/>
      <c r="I136" s="42"/>
      <c r="J136" s="42"/>
      <c r="K136" s="17"/>
      <c r="L136" s="17"/>
      <c r="M136" s="18"/>
      <c r="N136" s="19"/>
      <c r="O136" s="19"/>
      <c r="P136" s="17"/>
      <c r="Y136" s="25" t="e">
        <f>INT(INDEX('Dados Consolidados'!$R$2:$R$38, MATCH(A136, 'Dados Consolidados'!$A$2:$A$38, 0)))</f>
        <v>#N/A</v>
      </c>
      <c r="Z136" s="25" t="e">
        <f>INT(INDEX('Dados Consolidados'!$S$2:$S$38, MATCH(B136, 'Dados Consolidados'!$B$2:$B$38, 0)))</f>
        <v>#N/A</v>
      </c>
      <c r="AA136" s="25" t="e">
        <f>INT(INDEX('Dados Consolidados'!$T$2:$T$38, MATCH(E136, 'Dados Consolidados'!$E$2:$E$38, 0)))</f>
        <v>#N/A</v>
      </c>
      <c r="AB136" s="25" t="e">
        <f>INT(INDEX('Dados Consolidados'!$U$2:$U$38, MATCH(H136, 'Dados Consolidados'!$H$2:$H$38, 0)))</f>
        <v>#N/A</v>
      </c>
      <c r="AC136" s="25" t="e">
        <f>INT(INDEX('Dados Consolidados'!$V$2:$V$38, MATCH(J136, 'Dados Consolidados'!$J$2:$J$38, 0)))</f>
        <v>#N/A</v>
      </c>
      <c r="AD136" s="25" t="e">
        <f>INT(INDEX('Dados Consolidados'!$W$2:$W$38, MATCH(P136, 'Dados Consolidados'!$P$2:$P$38, 0)))</f>
        <v>#N/A</v>
      </c>
    </row>
    <row r="137" spans="1:30" ht="20.100000000000001" customHeight="1" x14ac:dyDescent="0.25">
      <c r="A137" s="24"/>
      <c r="B137" s="24"/>
      <c r="E137" s="17"/>
      <c r="F137" s="17"/>
      <c r="G137" s="17"/>
      <c r="H137" s="17"/>
      <c r="I137" s="42"/>
      <c r="J137" s="42"/>
      <c r="K137" s="17"/>
      <c r="L137" s="17"/>
      <c r="M137" s="18"/>
      <c r="N137" s="19"/>
      <c r="O137" s="19"/>
      <c r="P137" s="17"/>
      <c r="Y137" s="25" t="e">
        <f>INT(INDEX('Dados Consolidados'!$R$2:$R$38, MATCH(A137, 'Dados Consolidados'!$A$2:$A$38, 0)))</f>
        <v>#N/A</v>
      </c>
      <c r="Z137" s="25" t="e">
        <f>INT(INDEX('Dados Consolidados'!$S$2:$S$38, MATCH(B137, 'Dados Consolidados'!$B$2:$B$38, 0)))</f>
        <v>#N/A</v>
      </c>
      <c r="AA137" s="25" t="e">
        <f>INT(INDEX('Dados Consolidados'!$T$2:$T$38, MATCH(E137, 'Dados Consolidados'!$E$2:$E$38, 0)))</f>
        <v>#N/A</v>
      </c>
      <c r="AB137" s="25" t="e">
        <f>INT(INDEX('Dados Consolidados'!$U$2:$U$38, MATCH(H137, 'Dados Consolidados'!$H$2:$H$38, 0)))</f>
        <v>#N/A</v>
      </c>
      <c r="AC137" s="25" t="e">
        <f>INT(INDEX('Dados Consolidados'!$V$2:$V$38, MATCH(J137, 'Dados Consolidados'!$J$2:$J$38, 0)))</f>
        <v>#N/A</v>
      </c>
      <c r="AD137" s="25" t="e">
        <f>INT(INDEX('Dados Consolidados'!$W$2:$W$38, MATCH(P137, 'Dados Consolidados'!$P$2:$P$38, 0)))</f>
        <v>#N/A</v>
      </c>
    </row>
    <row r="138" spans="1:30" ht="20.100000000000001" customHeight="1" x14ac:dyDescent="0.25">
      <c r="A138" s="24"/>
      <c r="B138" s="24"/>
      <c r="E138" s="17"/>
      <c r="F138" s="17"/>
      <c r="G138" s="17"/>
      <c r="H138" s="17"/>
      <c r="I138" s="42"/>
      <c r="J138" s="42"/>
      <c r="K138" s="17"/>
      <c r="L138" s="17"/>
      <c r="M138" s="18"/>
      <c r="N138" s="19"/>
      <c r="O138" s="19"/>
      <c r="P138" s="17"/>
      <c r="Y138" s="25" t="e">
        <f>INT(INDEX('Dados Consolidados'!$R$2:$R$38, MATCH(A138, 'Dados Consolidados'!$A$2:$A$38, 0)))</f>
        <v>#N/A</v>
      </c>
      <c r="Z138" s="25" t="e">
        <f>INT(INDEX('Dados Consolidados'!$S$2:$S$38, MATCH(B138, 'Dados Consolidados'!$B$2:$B$38, 0)))</f>
        <v>#N/A</v>
      </c>
      <c r="AA138" s="25" t="e">
        <f>INT(INDEX('Dados Consolidados'!$T$2:$T$38, MATCH(E138, 'Dados Consolidados'!$E$2:$E$38, 0)))</f>
        <v>#N/A</v>
      </c>
      <c r="AB138" s="25" t="e">
        <f>INT(INDEX('Dados Consolidados'!$U$2:$U$38, MATCH(H138, 'Dados Consolidados'!$H$2:$H$38, 0)))</f>
        <v>#N/A</v>
      </c>
      <c r="AC138" s="25" t="e">
        <f>INT(INDEX('Dados Consolidados'!$V$2:$V$38, MATCH(J138, 'Dados Consolidados'!$J$2:$J$38, 0)))</f>
        <v>#N/A</v>
      </c>
      <c r="AD138" s="25" t="e">
        <f>INT(INDEX('Dados Consolidados'!$W$2:$W$38, MATCH(P138, 'Dados Consolidados'!$P$2:$P$38, 0)))</f>
        <v>#N/A</v>
      </c>
    </row>
    <row r="139" spans="1:30" ht="20.100000000000001" customHeight="1" x14ac:dyDescent="0.25">
      <c r="A139" s="24"/>
      <c r="B139" s="24"/>
      <c r="E139" s="17"/>
      <c r="F139" s="17"/>
      <c r="G139" s="17"/>
      <c r="H139" s="17"/>
      <c r="I139" s="42"/>
      <c r="J139" s="42"/>
      <c r="K139" s="17"/>
      <c r="L139" s="17"/>
      <c r="M139" s="18"/>
      <c r="N139" s="19"/>
      <c r="O139" s="19"/>
      <c r="P139" s="17"/>
      <c r="Y139" s="25" t="e">
        <f>INT(INDEX('Dados Consolidados'!$R$2:$R$38, MATCH(A139, 'Dados Consolidados'!$A$2:$A$38, 0)))</f>
        <v>#N/A</v>
      </c>
      <c r="Z139" s="25" t="e">
        <f>INT(INDEX('Dados Consolidados'!$S$2:$S$38, MATCH(B139, 'Dados Consolidados'!$B$2:$B$38, 0)))</f>
        <v>#N/A</v>
      </c>
      <c r="AA139" s="25" t="e">
        <f>INT(INDEX('Dados Consolidados'!$T$2:$T$38, MATCH(E139, 'Dados Consolidados'!$E$2:$E$38, 0)))</f>
        <v>#N/A</v>
      </c>
      <c r="AB139" s="25" t="e">
        <f>INT(INDEX('Dados Consolidados'!$U$2:$U$38, MATCH(H139, 'Dados Consolidados'!$H$2:$H$38, 0)))</f>
        <v>#N/A</v>
      </c>
      <c r="AC139" s="25" t="e">
        <f>INT(INDEX('Dados Consolidados'!$V$2:$V$38, MATCH(J139, 'Dados Consolidados'!$J$2:$J$38, 0)))</f>
        <v>#N/A</v>
      </c>
      <c r="AD139" s="25" t="e">
        <f>INT(INDEX('Dados Consolidados'!$W$2:$W$38, MATCH(P139, 'Dados Consolidados'!$P$2:$P$38, 0)))</f>
        <v>#N/A</v>
      </c>
    </row>
    <row r="140" spans="1:30" ht="20.100000000000001" customHeight="1" x14ac:dyDescent="0.25">
      <c r="A140" s="24"/>
      <c r="B140" s="24"/>
      <c r="E140" s="17"/>
      <c r="F140" s="17"/>
      <c r="G140" s="17"/>
      <c r="H140" s="17"/>
      <c r="I140" s="42"/>
      <c r="J140" s="42"/>
      <c r="K140" s="17"/>
      <c r="L140" s="17"/>
      <c r="M140" s="18"/>
      <c r="N140" s="19"/>
      <c r="O140" s="19"/>
      <c r="P140" s="17"/>
      <c r="Y140" s="25" t="e">
        <f>INT(INDEX('Dados Consolidados'!$R$2:$R$38, MATCH(A140, 'Dados Consolidados'!$A$2:$A$38, 0)))</f>
        <v>#N/A</v>
      </c>
      <c r="Z140" s="25" t="e">
        <f>INT(INDEX('Dados Consolidados'!$S$2:$S$38, MATCH(B140, 'Dados Consolidados'!$B$2:$B$38, 0)))</f>
        <v>#N/A</v>
      </c>
      <c r="AA140" s="25" t="e">
        <f>INT(INDEX('Dados Consolidados'!$T$2:$T$38, MATCH(E140, 'Dados Consolidados'!$E$2:$E$38, 0)))</f>
        <v>#N/A</v>
      </c>
      <c r="AB140" s="25" t="e">
        <f>INT(INDEX('Dados Consolidados'!$U$2:$U$38, MATCH(H140, 'Dados Consolidados'!$H$2:$H$38, 0)))</f>
        <v>#N/A</v>
      </c>
      <c r="AC140" s="25" t="e">
        <f>INT(INDEX('Dados Consolidados'!$V$2:$V$38, MATCH(J140, 'Dados Consolidados'!$J$2:$J$38, 0)))</f>
        <v>#N/A</v>
      </c>
      <c r="AD140" s="25" t="e">
        <f>INT(INDEX('Dados Consolidados'!$W$2:$W$38, MATCH(P140, 'Dados Consolidados'!$P$2:$P$38, 0)))</f>
        <v>#N/A</v>
      </c>
    </row>
    <row r="141" spans="1:30" ht="20.100000000000001" customHeight="1" x14ac:dyDescent="0.25">
      <c r="A141" s="24"/>
      <c r="B141" s="24"/>
      <c r="E141" s="17"/>
      <c r="F141" s="17"/>
      <c r="G141" s="17"/>
      <c r="H141" s="17"/>
      <c r="I141" s="42"/>
      <c r="J141" s="42"/>
      <c r="K141" s="17"/>
      <c r="L141" s="17"/>
      <c r="M141" s="18"/>
      <c r="N141" s="19"/>
      <c r="O141" s="19"/>
      <c r="P141" s="17"/>
      <c r="Y141" s="25" t="e">
        <f>INT(INDEX('Dados Consolidados'!$R$2:$R$38, MATCH(A141, 'Dados Consolidados'!$A$2:$A$38, 0)))</f>
        <v>#N/A</v>
      </c>
      <c r="Z141" s="25" t="e">
        <f>INT(INDEX('Dados Consolidados'!$S$2:$S$38, MATCH(B141, 'Dados Consolidados'!$B$2:$B$38, 0)))</f>
        <v>#N/A</v>
      </c>
      <c r="AA141" s="25" t="e">
        <f>INT(INDEX('Dados Consolidados'!$T$2:$T$38, MATCH(E141, 'Dados Consolidados'!$E$2:$E$38, 0)))</f>
        <v>#N/A</v>
      </c>
      <c r="AB141" s="25" t="e">
        <f>INT(INDEX('Dados Consolidados'!$U$2:$U$38, MATCH(H141, 'Dados Consolidados'!$H$2:$H$38, 0)))</f>
        <v>#N/A</v>
      </c>
      <c r="AC141" s="25" t="e">
        <f>INT(INDEX('Dados Consolidados'!$V$2:$V$38, MATCH(J141, 'Dados Consolidados'!$J$2:$J$38, 0)))</f>
        <v>#N/A</v>
      </c>
      <c r="AD141" s="25" t="e">
        <f>INT(INDEX('Dados Consolidados'!$W$2:$W$38, MATCH(P141, 'Dados Consolidados'!$P$2:$P$38, 0)))</f>
        <v>#N/A</v>
      </c>
    </row>
    <row r="142" spans="1:30" ht="20.100000000000001" customHeight="1" x14ac:dyDescent="0.25">
      <c r="A142" s="24"/>
      <c r="B142" s="24"/>
      <c r="E142" s="17"/>
      <c r="F142" s="17"/>
      <c r="G142" s="17"/>
      <c r="H142" s="17"/>
      <c r="I142" s="42"/>
      <c r="J142" s="42"/>
      <c r="K142" s="17"/>
      <c r="L142" s="17"/>
      <c r="M142" s="18"/>
      <c r="N142" s="19"/>
      <c r="O142" s="19"/>
      <c r="P142" s="17"/>
      <c r="Y142" s="25" t="e">
        <f>INT(INDEX('Dados Consolidados'!$R$2:$R$38, MATCH(A142, 'Dados Consolidados'!$A$2:$A$38, 0)))</f>
        <v>#N/A</v>
      </c>
      <c r="Z142" s="25" t="e">
        <f>INT(INDEX('Dados Consolidados'!$S$2:$S$38, MATCH(B142, 'Dados Consolidados'!$B$2:$B$38, 0)))</f>
        <v>#N/A</v>
      </c>
      <c r="AA142" s="25" t="e">
        <f>INT(INDEX('Dados Consolidados'!$T$2:$T$38, MATCH(E142, 'Dados Consolidados'!$E$2:$E$38, 0)))</f>
        <v>#N/A</v>
      </c>
      <c r="AB142" s="25" t="e">
        <f>INT(INDEX('Dados Consolidados'!$U$2:$U$38, MATCH(H142, 'Dados Consolidados'!$H$2:$H$38, 0)))</f>
        <v>#N/A</v>
      </c>
      <c r="AC142" s="25" t="e">
        <f>INT(INDEX('Dados Consolidados'!$V$2:$V$38, MATCH(J142, 'Dados Consolidados'!$J$2:$J$38, 0)))</f>
        <v>#N/A</v>
      </c>
      <c r="AD142" s="25" t="e">
        <f>INT(INDEX('Dados Consolidados'!$W$2:$W$38, MATCH(P142, 'Dados Consolidados'!$P$2:$P$38, 0)))</f>
        <v>#N/A</v>
      </c>
    </row>
    <row r="143" spans="1:30" ht="20.100000000000001" customHeight="1" x14ac:dyDescent="0.25">
      <c r="A143" s="24"/>
      <c r="B143" s="24"/>
      <c r="E143" s="17"/>
      <c r="F143" s="17"/>
      <c r="G143" s="17"/>
      <c r="H143" s="17"/>
      <c r="I143" s="42"/>
      <c r="J143" s="42"/>
      <c r="K143" s="17"/>
      <c r="L143" s="17"/>
      <c r="M143" s="18"/>
      <c r="N143" s="19"/>
      <c r="O143" s="19"/>
      <c r="P143" s="17"/>
      <c r="Y143" s="25" t="e">
        <f>INT(INDEX('Dados Consolidados'!$R$2:$R$38, MATCH(A143, 'Dados Consolidados'!$A$2:$A$38, 0)))</f>
        <v>#N/A</v>
      </c>
      <c r="Z143" s="25" t="e">
        <f>INT(INDEX('Dados Consolidados'!$S$2:$S$38, MATCH(B143, 'Dados Consolidados'!$B$2:$B$38, 0)))</f>
        <v>#N/A</v>
      </c>
      <c r="AA143" s="25" t="e">
        <f>INT(INDEX('Dados Consolidados'!$T$2:$T$38, MATCH(E143, 'Dados Consolidados'!$E$2:$E$38, 0)))</f>
        <v>#N/A</v>
      </c>
      <c r="AB143" s="25" t="e">
        <f>INT(INDEX('Dados Consolidados'!$U$2:$U$38, MATCH(H143, 'Dados Consolidados'!$H$2:$H$38, 0)))</f>
        <v>#N/A</v>
      </c>
      <c r="AC143" s="25" t="e">
        <f>INT(INDEX('Dados Consolidados'!$V$2:$V$38, MATCH(J143, 'Dados Consolidados'!$J$2:$J$38, 0)))</f>
        <v>#N/A</v>
      </c>
      <c r="AD143" s="25" t="e">
        <f>INT(INDEX('Dados Consolidados'!$W$2:$W$38, MATCH(P143, 'Dados Consolidados'!$P$2:$P$38, 0)))</f>
        <v>#N/A</v>
      </c>
    </row>
    <row r="144" spans="1:30" ht="20.100000000000001" customHeight="1" x14ac:dyDescent="0.25">
      <c r="A144" s="24"/>
      <c r="B144" s="24"/>
      <c r="E144" s="17"/>
      <c r="F144" s="17"/>
      <c r="G144" s="17"/>
      <c r="H144" s="17"/>
      <c r="I144" s="42"/>
      <c r="J144" s="42"/>
      <c r="K144" s="17"/>
      <c r="L144" s="17"/>
      <c r="M144" s="18"/>
      <c r="N144" s="19"/>
      <c r="O144" s="19"/>
      <c r="P144" s="17"/>
      <c r="Y144" s="25" t="e">
        <f>INT(INDEX('Dados Consolidados'!$R$2:$R$38, MATCH(A144, 'Dados Consolidados'!$A$2:$A$38, 0)))</f>
        <v>#N/A</v>
      </c>
      <c r="Z144" s="25" t="e">
        <f>INT(INDEX('Dados Consolidados'!$S$2:$S$38, MATCH(B144, 'Dados Consolidados'!$B$2:$B$38, 0)))</f>
        <v>#N/A</v>
      </c>
      <c r="AA144" s="25" t="e">
        <f>INT(INDEX('Dados Consolidados'!$T$2:$T$38, MATCH(E144, 'Dados Consolidados'!$E$2:$E$38, 0)))</f>
        <v>#N/A</v>
      </c>
      <c r="AB144" s="25" t="e">
        <f>INT(INDEX('Dados Consolidados'!$U$2:$U$38, MATCH(H144, 'Dados Consolidados'!$H$2:$H$38, 0)))</f>
        <v>#N/A</v>
      </c>
      <c r="AC144" s="25" t="e">
        <f>INT(INDEX('Dados Consolidados'!$V$2:$V$38, MATCH(J144, 'Dados Consolidados'!$J$2:$J$38, 0)))</f>
        <v>#N/A</v>
      </c>
      <c r="AD144" s="25" t="e">
        <f>INT(INDEX('Dados Consolidados'!$W$2:$W$38, MATCH(P144, 'Dados Consolidados'!$P$2:$P$38, 0)))</f>
        <v>#N/A</v>
      </c>
    </row>
    <row r="145" spans="1:30" ht="20.100000000000001" customHeight="1" x14ac:dyDescent="0.25">
      <c r="A145" s="24"/>
      <c r="B145" s="24"/>
      <c r="E145" s="17"/>
      <c r="F145" s="17"/>
      <c r="G145" s="17"/>
      <c r="H145" s="17"/>
      <c r="I145" s="42"/>
      <c r="J145" s="42"/>
      <c r="K145" s="17"/>
      <c r="L145" s="17"/>
      <c r="M145" s="18"/>
      <c r="N145" s="19"/>
      <c r="O145" s="19"/>
      <c r="P145" s="17"/>
      <c r="Y145" s="25" t="e">
        <f>INT(INDEX('Dados Consolidados'!$R$2:$R$38, MATCH(A145, 'Dados Consolidados'!$A$2:$A$38, 0)))</f>
        <v>#N/A</v>
      </c>
      <c r="Z145" s="25" t="e">
        <f>INT(INDEX('Dados Consolidados'!$S$2:$S$38, MATCH(B145, 'Dados Consolidados'!$B$2:$B$38, 0)))</f>
        <v>#N/A</v>
      </c>
      <c r="AA145" s="25" t="e">
        <f>INT(INDEX('Dados Consolidados'!$T$2:$T$38, MATCH(E145, 'Dados Consolidados'!$E$2:$E$38, 0)))</f>
        <v>#N/A</v>
      </c>
      <c r="AB145" s="25" t="e">
        <f>INT(INDEX('Dados Consolidados'!$U$2:$U$38, MATCH(H145, 'Dados Consolidados'!$H$2:$H$38, 0)))</f>
        <v>#N/A</v>
      </c>
      <c r="AC145" s="25" t="e">
        <f>INT(INDEX('Dados Consolidados'!$V$2:$V$38, MATCH(J145, 'Dados Consolidados'!$J$2:$J$38, 0)))</f>
        <v>#N/A</v>
      </c>
      <c r="AD145" s="25" t="e">
        <f>INT(INDEX('Dados Consolidados'!$W$2:$W$38, MATCH(P145, 'Dados Consolidados'!$P$2:$P$38, 0)))</f>
        <v>#N/A</v>
      </c>
    </row>
    <row r="146" spans="1:30" ht="20.100000000000001" customHeight="1" x14ac:dyDescent="0.25">
      <c r="A146" s="24"/>
      <c r="B146" s="24"/>
      <c r="E146" s="17"/>
      <c r="F146" s="17"/>
      <c r="G146" s="17"/>
      <c r="H146" s="17"/>
      <c r="I146" s="42"/>
      <c r="J146" s="42"/>
      <c r="K146" s="17"/>
      <c r="L146" s="17"/>
      <c r="M146" s="18"/>
      <c r="N146" s="19"/>
      <c r="O146" s="19"/>
      <c r="P146" s="17"/>
      <c r="Y146" s="25" t="e">
        <f>INT(INDEX('Dados Consolidados'!$R$2:$R$38, MATCH(A146, 'Dados Consolidados'!$A$2:$A$38, 0)))</f>
        <v>#N/A</v>
      </c>
      <c r="Z146" s="25" t="e">
        <f>INT(INDEX('Dados Consolidados'!$S$2:$S$38, MATCH(B146, 'Dados Consolidados'!$B$2:$B$38, 0)))</f>
        <v>#N/A</v>
      </c>
      <c r="AA146" s="25" t="e">
        <f>INT(INDEX('Dados Consolidados'!$T$2:$T$38, MATCH(E146, 'Dados Consolidados'!$E$2:$E$38, 0)))</f>
        <v>#N/A</v>
      </c>
      <c r="AB146" s="25" t="e">
        <f>INT(INDEX('Dados Consolidados'!$U$2:$U$38, MATCH(H146, 'Dados Consolidados'!$H$2:$H$38, 0)))</f>
        <v>#N/A</v>
      </c>
      <c r="AC146" s="25" t="e">
        <f>INT(INDEX('Dados Consolidados'!$V$2:$V$38, MATCH(J146, 'Dados Consolidados'!$J$2:$J$38, 0)))</f>
        <v>#N/A</v>
      </c>
      <c r="AD146" s="25" t="e">
        <f>INT(INDEX('Dados Consolidados'!$W$2:$W$38, MATCH(P146, 'Dados Consolidados'!$P$2:$P$38, 0)))</f>
        <v>#N/A</v>
      </c>
    </row>
    <row r="147" spans="1:30" ht="20.100000000000001" customHeight="1" x14ac:dyDescent="0.25">
      <c r="A147" s="24"/>
      <c r="B147" s="24"/>
      <c r="E147" s="17"/>
      <c r="F147" s="17"/>
      <c r="G147" s="17"/>
      <c r="H147" s="17"/>
      <c r="I147" s="42"/>
      <c r="J147" s="42"/>
      <c r="K147" s="17"/>
      <c r="L147" s="17"/>
      <c r="M147" s="18"/>
      <c r="N147" s="19"/>
      <c r="O147" s="19"/>
      <c r="P147" s="17"/>
      <c r="Y147" s="25" t="e">
        <f>INT(INDEX('Dados Consolidados'!$R$2:$R$38, MATCH(A147, 'Dados Consolidados'!$A$2:$A$38, 0)))</f>
        <v>#N/A</v>
      </c>
      <c r="Z147" s="25" t="e">
        <f>INT(INDEX('Dados Consolidados'!$S$2:$S$38, MATCH(B147, 'Dados Consolidados'!$B$2:$B$38, 0)))</f>
        <v>#N/A</v>
      </c>
      <c r="AA147" s="25" t="e">
        <f>INT(INDEX('Dados Consolidados'!$T$2:$T$38, MATCH(E147, 'Dados Consolidados'!$E$2:$E$38, 0)))</f>
        <v>#N/A</v>
      </c>
      <c r="AB147" s="25" t="e">
        <f>INT(INDEX('Dados Consolidados'!$U$2:$U$38, MATCH(H147, 'Dados Consolidados'!$H$2:$H$38, 0)))</f>
        <v>#N/A</v>
      </c>
      <c r="AC147" s="25" t="e">
        <f>INT(INDEX('Dados Consolidados'!$V$2:$V$38, MATCH(J147, 'Dados Consolidados'!$J$2:$J$38, 0)))</f>
        <v>#N/A</v>
      </c>
      <c r="AD147" s="25" t="e">
        <f>INT(INDEX('Dados Consolidados'!$W$2:$W$38, MATCH(P147, 'Dados Consolidados'!$P$2:$P$38, 0)))</f>
        <v>#N/A</v>
      </c>
    </row>
    <row r="148" spans="1:30" ht="20.100000000000001" customHeight="1" x14ac:dyDescent="0.25">
      <c r="A148" s="24"/>
      <c r="B148" s="24"/>
      <c r="E148" s="17"/>
      <c r="F148" s="17"/>
      <c r="G148" s="17"/>
      <c r="H148" s="17"/>
      <c r="I148" s="42"/>
      <c r="J148" s="42"/>
      <c r="K148" s="17"/>
      <c r="L148" s="17"/>
      <c r="M148" s="18"/>
      <c r="N148" s="19"/>
      <c r="O148" s="19"/>
      <c r="P148" s="17"/>
      <c r="Y148" s="25" t="e">
        <f>INT(INDEX('Dados Consolidados'!$R$2:$R$38, MATCH(A148, 'Dados Consolidados'!$A$2:$A$38, 0)))</f>
        <v>#N/A</v>
      </c>
      <c r="Z148" s="25" t="e">
        <f>INT(INDEX('Dados Consolidados'!$S$2:$S$38, MATCH(B148, 'Dados Consolidados'!$B$2:$B$38, 0)))</f>
        <v>#N/A</v>
      </c>
      <c r="AA148" s="25" t="e">
        <f>INT(INDEX('Dados Consolidados'!$T$2:$T$38, MATCH(E148, 'Dados Consolidados'!$E$2:$E$38, 0)))</f>
        <v>#N/A</v>
      </c>
      <c r="AB148" s="25" t="e">
        <f>INT(INDEX('Dados Consolidados'!$U$2:$U$38, MATCH(H148, 'Dados Consolidados'!$H$2:$H$38, 0)))</f>
        <v>#N/A</v>
      </c>
      <c r="AC148" s="25" t="e">
        <f>INT(INDEX('Dados Consolidados'!$V$2:$V$38, MATCH(J148, 'Dados Consolidados'!$J$2:$J$38, 0)))</f>
        <v>#N/A</v>
      </c>
      <c r="AD148" s="25" t="e">
        <f>INT(INDEX('Dados Consolidados'!$W$2:$W$38, MATCH(P148, 'Dados Consolidados'!$P$2:$P$38, 0)))</f>
        <v>#N/A</v>
      </c>
    </row>
    <row r="149" spans="1:30" ht="20.100000000000001" customHeight="1" x14ac:dyDescent="0.25">
      <c r="A149" s="24"/>
      <c r="B149" s="24"/>
      <c r="E149" s="17"/>
      <c r="F149" s="17"/>
      <c r="G149" s="17"/>
      <c r="H149" s="17"/>
      <c r="I149" s="42"/>
      <c r="J149" s="42"/>
      <c r="K149" s="17"/>
      <c r="L149" s="17"/>
      <c r="M149" s="18"/>
      <c r="N149" s="19"/>
      <c r="O149" s="19"/>
      <c r="P149" s="17"/>
      <c r="Y149" s="25" t="e">
        <f>INT(INDEX('Dados Consolidados'!$R$2:$R$38, MATCH(A149, 'Dados Consolidados'!$A$2:$A$38, 0)))</f>
        <v>#N/A</v>
      </c>
      <c r="Z149" s="25" t="e">
        <f>INT(INDEX('Dados Consolidados'!$S$2:$S$38, MATCH(B149, 'Dados Consolidados'!$B$2:$B$38, 0)))</f>
        <v>#N/A</v>
      </c>
      <c r="AA149" s="25" t="e">
        <f>INT(INDEX('Dados Consolidados'!$T$2:$T$38, MATCH(E149, 'Dados Consolidados'!$E$2:$E$38, 0)))</f>
        <v>#N/A</v>
      </c>
      <c r="AB149" s="25" t="e">
        <f>INT(INDEX('Dados Consolidados'!$U$2:$U$38, MATCH(H149, 'Dados Consolidados'!$H$2:$H$38, 0)))</f>
        <v>#N/A</v>
      </c>
      <c r="AC149" s="25" t="e">
        <f>INT(INDEX('Dados Consolidados'!$V$2:$V$38, MATCH(J149, 'Dados Consolidados'!$J$2:$J$38, 0)))</f>
        <v>#N/A</v>
      </c>
      <c r="AD149" s="25" t="e">
        <f>INT(INDEX('Dados Consolidados'!$W$2:$W$38, MATCH(P149, 'Dados Consolidados'!$P$2:$P$38, 0)))</f>
        <v>#N/A</v>
      </c>
    </row>
    <row r="150" spans="1:30" ht="20.100000000000001" customHeight="1" x14ac:dyDescent="0.25">
      <c r="A150" s="24"/>
      <c r="B150" s="24"/>
      <c r="E150" s="17"/>
      <c r="F150" s="17"/>
      <c r="G150" s="17"/>
      <c r="H150" s="17"/>
      <c r="I150" s="42"/>
      <c r="J150" s="42"/>
      <c r="K150" s="17"/>
      <c r="L150" s="17"/>
      <c r="M150" s="18"/>
      <c r="N150" s="19"/>
      <c r="O150" s="19"/>
      <c r="P150" s="17"/>
      <c r="Y150" s="25" t="e">
        <f>INT(INDEX('Dados Consolidados'!$R$2:$R$38, MATCH(A150, 'Dados Consolidados'!$A$2:$A$38, 0)))</f>
        <v>#N/A</v>
      </c>
      <c r="Z150" s="25" t="e">
        <f>INT(INDEX('Dados Consolidados'!$S$2:$S$38, MATCH(B150, 'Dados Consolidados'!$B$2:$B$38, 0)))</f>
        <v>#N/A</v>
      </c>
      <c r="AA150" s="25" t="e">
        <f>INT(INDEX('Dados Consolidados'!$T$2:$T$38, MATCH(E150, 'Dados Consolidados'!$E$2:$E$38, 0)))</f>
        <v>#N/A</v>
      </c>
      <c r="AB150" s="25" t="e">
        <f>INT(INDEX('Dados Consolidados'!$U$2:$U$38, MATCH(H150, 'Dados Consolidados'!$H$2:$H$38, 0)))</f>
        <v>#N/A</v>
      </c>
      <c r="AC150" s="25" t="e">
        <f>INT(INDEX('Dados Consolidados'!$V$2:$V$38, MATCH(J150, 'Dados Consolidados'!$J$2:$J$38, 0)))</f>
        <v>#N/A</v>
      </c>
      <c r="AD150" s="25" t="e">
        <f>INT(INDEX('Dados Consolidados'!$W$2:$W$38, MATCH(P150, 'Dados Consolidados'!$P$2:$P$38, 0)))</f>
        <v>#N/A</v>
      </c>
    </row>
    <row r="151" spans="1:30" ht="20.100000000000001" customHeight="1" x14ac:dyDescent="0.25">
      <c r="A151" s="24"/>
      <c r="B151" s="24"/>
      <c r="E151" s="17"/>
      <c r="F151" s="17"/>
      <c r="G151" s="17"/>
      <c r="H151" s="17"/>
      <c r="I151" s="42"/>
      <c r="J151" s="42"/>
      <c r="K151" s="17"/>
      <c r="L151" s="17"/>
      <c r="M151" s="18"/>
      <c r="N151" s="19"/>
      <c r="O151" s="19"/>
      <c r="P151" s="17"/>
      <c r="Y151" s="25" t="e">
        <f>INT(INDEX('Dados Consolidados'!$R$2:$R$38, MATCH(A151, 'Dados Consolidados'!$A$2:$A$38, 0)))</f>
        <v>#N/A</v>
      </c>
      <c r="Z151" s="25" t="e">
        <f>INT(INDEX('Dados Consolidados'!$S$2:$S$38, MATCH(B151, 'Dados Consolidados'!$B$2:$B$38, 0)))</f>
        <v>#N/A</v>
      </c>
      <c r="AA151" s="25" t="e">
        <f>INT(INDEX('Dados Consolidados'!$T$2:$T$38, MATCH(E151, 'Dados Consolidados'!$E$2:$E$38, 0)))</f>
        <v>#N/A</v>
      </c>
      <c r="AB151" s="25" t="e">
        <f>INT(INDEX('Dados Consolidados'!$U$2:$U$38, MATCH(H151, 'Dados Consolidados'!$H$2:$H$38, 0)))</f>
        <v>#N/A</v>
      </c>
      <c r="AC151" s="25" t="e">
        <f>INT(INDEX('Dados Consolidados'!$V$2:$V$38, MATCH(J151, 'Dados Consolidados'!$J$2:$J$38, 0)))</f>
        <v>#N/A</v>
      </c>
      <c r="AD151" s="25" t="e">
        <f>INT(INDEX('Dados Consolidados'!$W$2:$W$38, MATCH(P151, 'Dados Consolidados'!$P$2:$P$38, 0)))</f>
        <v>#N/A</v>
      </c>
    </row>
    <row r="152" spans="1:30" ht="20.100000000000001" customHeight="1" x14ac:dyDescent="0.25">
      <c r="A152" s="24"/>
      <c r="B152" s="24"/>
      <c r="E152" s="17"/>
      <c r="F152" s="17"/>
      <c r="G152" s="17"/>
      <c r="H152" s="17"/>
      <c r="I152" s="42"/>
      <c r="J152" s="42"/>
      <c r="K152" s="17"/>
      <c r="L152" s="17"/>
      <c r="M152" s="18"/>
      <c r="N152" s="19"/>
      <c r="O152" s="19"/>
      <c r="P152" s="17"/>
      <c r="Y152" s="25" t="e">
        <f>INT(INDEX('Dados Consolidados'!$R$2:$R$38, MATCH(A152, 'Dados Consolidados'!$A$2:$A$38, 0)))</f>
        <v>#N/A</v>
      </c>
      <c r="Z152" s="25" t="e">
        <f>INT(INDEX('Dados Consolidados'!$S$2:$S$38, MATCH(B152, 'Dados Consolidados'!$B$2:$B$38, 0)))</f>
        <v>#N/A</v>
      </c>
      <c r="AA152" s="25" t="e">
        <f>INT(INDEX('Dados Consolidados'!$T$2:$T$38, MATCH(E152, 'Dados Consolidados'!$E$2:$E$38, 0)))</f>
        <v>#N/A</v>
      </c>
      <c r="AB152" s="25" t="e">
        <f>INT(INDEX('Dados Consolidados'!$U$2:$U$38, MATCH(H152, 'Dados Consolidados'!$H$2:$H$38, 0)))</f>
        <v>#N/A</v>
      </c>
      <c r="AC152" s="25" t="e">
        <f>INT(INDEX('Dados Consolidados'!$V$2:$V$38, MATCH(J152, 'Dados Consolidados'!$J$2:$J$38, 0)))</f>
        <v>#N/A</v>
      </c>
      <c r="AD152" s="25" t="e">
        <f>INT(INDEX('Dados Consolidados'!$W$2:$W$38, MATCH(P152, 'Dados Consolidados'!$P$2:$P$38, 0)))</f>
        <v>#N/A</v>
      </c>
    </row>
    <row r="153" spans="1:30" ht="20.100000000000001" customHeight="1" x14ac:dyDescent="0.25">
      <c r="A153" s="24"/>
      <c r="B153" s="24"/>
      <c r="E153" s="17"/>
      <c r="F153" s="17"/>
      <c r="G153" s="17"/>
      <c r="H153" s="17"/>
      <c r="I153" s="42"/>
      <c r="J153" s="42"/>
      <c r="K153" s="17"/>
      <c r="L153" s="17"/>
      <c r="M153" s="18"/>
      <c r="N153" s="19"/>
      <c r="O153" s="19"/>
      <c r="P153" s="17"/>
      <c r="Y153" s="25" t="e">
        <f>INT(INDEX('Dados Consolidados'!$R$2:$R$38, MATCH(A153, 'Dados Consolidados'!$A$2:$A$38, 0)))</f>
        <v>#N/A</v>
      </c>
      <c r="Z153" s="25" t="e">
        <f>INT(INDEX('Dados Consolidados'!$S$2:$S$38, MATCH(B153, 'Dados Consolidados'!$B$2:$B$38, 0)))</f>
        <v>#N/A</v>
      </c>
      <c r="AA153" s="25" t="e">
        <f>INT(INDEX('Dados Consolidados'!$T$2:$T$38, MATCH(E153, 'Dados Consolidados'!$E$2:$E$38, 0)))</f>
        <v>#N/A</v>
      </c>
      <c r="AB153" s="25" t="e">
        <f>INT(INDEX('Dados Consolidados'!$U$2:$U$38, MATCH(H153, 'Dados Consolidados'!$H$2:$H$38, 0)))</f>
        <v>#N/A</v>
      </c>
      <c r="AC153" s="25" t="e">
        <f>INT(INDEX('Dados Consolidados'!$V$2:$V$38, MATCH(J153, 'Dados Consolidados'!$J$2:$J$38, 0)))</f>
        <v>#N/A</v>
      </c>
      <c r="AD153" s="25" t="e">
        <f>INT(INDEX('Dados Consolidados'!$W$2:$W$38, MATCH(P153, 'Dados Consolidados'!$P$2:$P$38, 0)))</f>
        <v>#N/A</v>
      </c>
    </row>
    <row r="154" spans="1:30" ht="20.100000000000001" customHeight="1" x14ac:dyDescent="0.25">
      <c r="A154" s="24"/>
      <c r="B154" s="24"/>
      <c r="E154" s="17"/>
      <c r="F154" s="17"/>
      <c r="G154" s="17"/>
      <c r="H154" s="17"/>
      <c r="I154" s="42"/>
      <c r="J154" s="42"/>
      <c r="K154" s="17"/>
      <c r="L154" s="17"/>
      <c r="M154" s="18"/>
      <c r="N154" s="19"/>
      <c r="O154" s="19"/>
      <c r="P154" s="17"/>
      <c r="Y154" s="25" t="e">
        <f>INT(INDEX('Dados Consolidados'!$R$2:$R$38, MATCH(A154, 'Dados Consolidados'!$A$2:$A$38, 0)))</f>
        <v>#N/A</v>
      </c>
      <c r="Z154" s="25" t="e">
        <f>INT(INDEX('Dados Consolidados'!$S$2:$S$38, MATCH(B154, 'Dados Consolidados'!$B$2:$B$38, 0)))</f>
        <v>#N/A</v>
      </c>
      <c r="AA154" s="25" t="e">
        <f>INT(INDEX('Dados Consolidados'!$T$2:$T$38, MATCH(E154, 'Dados Consolidados'!$E$2:$E$38, 0)))</f>
        <v>#N/A</v>
      </c>
      <c r="AB154" s="25" t="e">
        <f>INT(INDEX('Dados Consolidados'!$U$2:$U$38, MATCH(H154, 'Dados Consolidados'!$H$2:$H$38, 0)))</f>
        <v>#N/A</v>
      </c>
      <c r="AC154" s="25" t="e">
        <f>INT(INDEX('Dados Consolidados'!$V$2:$V$38, MATCH(J154, 'Dados Consolidados'!$J$2:$J$38, 0)))</f>
        <v>#N/A</v>
      </c>
      <c r="AD154" s="25" t="e">
        <f>INT(INDEX('Dados Consolidados'!$W$2:$W$38, MATCH(P154, 'Dados Consolidados'!$P$2:$P$38, 0)))</f>
        <v>#N/A</v>
      </c>
    </row>
    <row r="155" spans="1:30" ht="20.100000000000001" customHeight="1" x14ac:dyDescent="0.25">
      <c r="A155" s="24"/>
      <c r="B155" s="24"/>
      <c r="E155" s="17"/>
      <c r="F155" s="17"/>
      <c r="G155" s="17"/>
      <c r="H155" s="17"/>
      <c r="I155" s="42"/>
      <c r="J155" s="42"/>
      <c r="K155" s="17"/>
      <c r="L155" s="17"/>
      <c r="M155" s="18"/>
      <c r="N155" s="19"/>
      <c r="O155" s="19"/>
      <c r="P155" s="17"/>
      <c r="Y155" s="25" t="e">
        <f>INT(INDEX('Dados Consolidados'!$R$2:$R$38, MATCH(A155, 'Dados Consolidados'!$A$2:$A$38, 0)))</f>
        <v>#N/A</v>
      </c>
      <c r="Z155" s="25" t="e">
        <f>INT(INDEX('Dados Consolidados'!$S$2:$S$38, MATCH(B155, 'Dados Consolidados'!$B$2:$B$38, 0)))</f>
        <v>#N/A</v>
      </c>
      <c r="AA155" s="25" t="e">
        <f>INT(INDEX('Dados Consolidados'!$T$2:$T$38, MATCH(E155, 'Dados Consolidados'!$E$2:$E$38, 0)))</f>
        <v>#N/A</v>
      </c>
      <c r="AB155" s="25" t="e">
        <f>INT(INDEX('Dados Consolidados'!$U$2:$U$38, MATCH(H155, 'Dados Consolidados'!$H$2:$H$38, 0)))</f>
        <v>#N/A</v>
      </c>
      <c r="AC155" s="25" t="e">
        <f>INT(INDEX('Dados Consolidados'!$V$2:$V$38, MATCH(J155, 'Dados Consolidados'!$J$2:$J$38, 0)))</f>
        <v>#N/A</v>
      </c>
      <c r="AD155" s="25" t="e">
        <f>INT(INDEX('Dados Consolidados'!$W$2:$W$38, MATCH(P155, 'Dados Consolidados'!$P$2:$P$38, 0)))</f>
        <v>#N/A</v>
      </c>
    </row>
    <row r="156" spans="1:30" ht="20.100000000000001" customHeight="1" x14ac:dyDescent="0.25">
      <c r="A156" s="24"/>
      <c r="B156" s="24"/>
      <c r="E156" s="17"/>
      <c r="F156" s="17"/>
      <c r="G156" s="17"/>
      <c r="H156" s="17"/>
      <c r="I156" s="42"/>
      <c r="J156" s="42"/>
      <c r="K156" s="17"/>
      <c r="L156" s="17"/>
      <c r="M156" s="18"/>
      <c r="N156" s="19"/>
      <c r="O156" s="19"/>
      <c r="P156" s="17"/>
      <c r="Y156" s="25" t="e">
        <f>INT(INDEX('Dados Consolidados'!$R$2:$R$38, MATCH(A156, 'Dados Consolidados'!$A$2:$A$38, 0)))</f>
        <v>#N/A</v>
      </c>
      <c r="Z156" s="25" t="e">
        <f>INT(INDEX('Dados Consolidados'!$S$2:$S$38, MATCH(B156, 'Dados Consolidados'!$B$2:$B$38, 0)))</f>
        <v>#N/A</v>
      </c>
      <c r="AA156" s="25" t="e">
        <f>INT(INDEX('Dados Consolidados'!$T$2:$T$38, MATCH(E156, 'Dados Consolidados'!$E$2:$E$38, 0)))</f>
        <v>#N/A</v>
      </c>
      <c r="AB156" s="25" t="e">
        <f>INT(INDEX('Dados Consolidados'!$U$2:$U$38, MATCH(H156, 'Dados Consolidados'!$H$2:$H$38, 0)))</f>
        <v>#N/A</v>
      </c>
      <c r="AC156" s="25" t="e">
        <f>INT(INDEX('Dados Consolidados'!$V$2:$V$38, MATCH(J156, 'Dados Consolidados'!$J$2:$J$38, 0)))</f>
        <v>#N/A</v>
      </c>
      <c r="AD156" s="25" t="e">
        <f>INT(INDEX('Dados Consolidados'!$W$2:$W$38, MATCH(P156, 'Dados Consolidados'!$P$2:$P$38, 0)))</f>
        <v>#N/A</v>
      </c>
    </row>
    <row r="157" spans="1:30" ht="20.100000000000001" customHeight="1" x14ac:dyDescent="0.25">
      <c r="A157" s="24"/>
      <c r="B157" s="24"/>
      <c r="E157" s="17"/>
      <c r="F157" s="17"/>
      <c r="G157" s="17"/>
      <c r="H157" s="17"/>
      <c r="I157" s="42"/>
      <c r="J157" s="42"/>
      <c r="K157" s="17"/>
      <c r="L157" s="17"/>
      <c r="M157" s="18"/>
      <c r="N157" s="19"/>
      <c r="O157" s="19"/>
      <c r="P157" s="17"/>
      <c r="Y157" s="25" t="e">
        <f>INT(INDEX('Dados Consolidados'!$R$2:$R$38, MATCH(A157, 'Dados Consolidados'!$A$2:$A$38, 0)))</f>
        <v>#N/A</v>
      </c>
      <c r="Z157" s="25" t="e">
        <f>INT(INDEX('Dados Consolidados'!$S$2:$S$38, MATCH(B157, 'Dados Consolidados'!$B$2:$B$38, 0)))</f>
        <v>#N/A</v>
      </c>
      <c r="AA157" s="25" t="e">
        <f>INT(INDEX('Dados Consolidados'!$T$2:$T$38, MATCH(E157, 'Dados Consolidados'!$E$2:$E$38, 0)))</f>
        <v>#N/A</v>
      </c>
      <c r="AB157" s="25" t="e">
        <f>INT(INDEX('Dados Consolidados'!$U$2:$U$38, MATCH(H157, 'Dados Consolidados'!$H$2:$H$38, 0)))</f>
        <v>#N/A</v>
      </c>
      <c r="AC157" s="25" t="e">
        <f>INT(INDEX('Dados Consolidados'!$V$2:$V$38, MATCH(J157, 'Dados Consolidados'!$J$2:$J$38, 0)))</f>
        <v>#N/A</v>
      </c>
      <c r="AD157" s="25" t="e">
        <f>INT(INDEX('Dados Consolidados'!$W$2:$W$38, MATCH(P157, 'Dados Consolidados'!$P$2:$P$38, 0)))</f>
        <v>#N/A</v>
      </c>
    </row>
    <row r="158" spans="1:30" ht="20.100000000000001" customHeight="1" x14ac:dyDescent="0.25">
      <c r="A158" s="24"/>
      <c r="B158" s="24"/>
      <c r="E158" s="17"/>
      <c r="F158" s="17"/>
      <c r="G158" s="17"/>
      <c r="H158" s="17"/>
      <c r="I158" s="42"/>
      <c r="J158" s="42"/>
      <c r="K158" s="17"/>
      <c r="L158" s="17"/>
      <c r="M158" s="18"/>
      <c r="N158" s="19"/>
      <c r="O158" s="19"/>
      <c r="P158" s="17"/>
      <c r="Y158" s="25" t="e">
        <f>INT(INDEX('Dados Consolidados'!$R$2:$R$38, MATCH(A158, 'Dados Consolidados'!$A$2:$A$38, 0)))</f>
        <v>#N/A</v>
      </c>
      <c r="Z158" s="25" t="e">
        <f>INT(INDEX('Dados Consolidados'!$S$2:$S$38, MATCH(B158, 'Dados Consolidados'!$B$2:$B$38, 0)))</f>
        <v>#N/A</v>
      </c>
      <c r="AA158" s="25" t="e">
        <f>INT(INDEX('Dados Consolidados'!$T$2:$T$38, MATCH(E158, 'Dados Consolidados'!$E$2:$E$38, 0)))</f>
        <v>#N/A</v>
      </c>
      <c r="AB158" s="25" t="e">
        <f>INT(INDEX('Dados Consolidados'!$U$2:$U$38, MATCH(H158, 'Dados Consolidados'!$H$2:$H$38, 0)))</f>
        <v>#N/A</v>
      </c>
      <c r="AC158" s="25" t="e">
        <f>INT(INDEX('Dados Consolidados'!$V$2:$V$38, MATCH(J158, 'Dados Consolidados'!$J$2:$J$38, 0)))</f>
        <v>#N/A</v>
      </c>
      <c r="AD158" s="25" t="e">
        <f>INT(INDEX('Dados Consolidados'!$W$2:$W$38, MATCH(P158, 'Dados Consolidados'!$P$2:$P$38, 0)))</f>
        <v>#N/A</v>
      </c>
    </row>
    <row r="159" spans="1:30" ht="20.100000000000001" customHeight="1" x14ac:dyDescent="0.25">
      <c r="A159" s="24"/>
      <c r="B159" s="24"/>
      <c r="E159" s="17"/>
      <c r="F159" s="17"/>
      <c r="G159" s="17"/>
      <c r="H159" s="17"/>
      <c r="I159" s="42"/>
      <c r="J159" s="42"/>
      <c r="K159" s="17"/>
      <c r="L159" s="17"/>
      <c r="M159" s="18"/>
      <c r="N159" s="19"/>
      <c r="O159" s="19"/>
      <c r="P159" s="17"/>
      <c r="Y159" s="25" t="e">
        <f>INT(INDEX('Dados Consolidados'!$R$2:$R$38, MATCH(A159, 'Dados Consolidados'!$A$2:$A$38, 0)))</f>
        <v>#N/A</v>
      </c>
      <c r="Z159" s="25" t="e">
        <f>INT(INDEX('Dados Consolidados'!$S$2:$S$38, MATCH(B159, 'Dados Consolidados'!$B$2:$B$38, 0)))</f>
        <v>#N/A</v>
      </c>
      <c r="AA159" s="25" t="e">
        <f>INT(INDEX('Dados Consolidados'!$T$2:$T$38, MATCH(E159, 'Dados Consolidados'!$E$2:$E$38, 0)))</f>
        <v>#N/A</v>
      </c>
      <c r="AB159" s="25" t="e">
        <f>INT(INDEX('Dados Consolidados'!$U$2:$U$38, MATCH(H159, 'Dados Consolidados'!$H$2:$H$38, 0)))</f>
        <v>#N/A</v>
      </c>
      <c r="AC159" s="25" t="e">
        <f>INT(INDEX('Dados Consolidados'!$V$2:$V$38, MATCH(J159, 'Dados Consolidados'!$J$2:$J$38, 0)))</f>
        <v>#N/A</v>
      </c>
      <c r="AD159" s="25" t="e">
        <f>INT(INDEX('Dados Consolidados'!$W$2:$W$38, MATCH(P159, 'Dados Consolidados'!$P$2:$P$38, 0)))</f>
        <v>#N/A</v>
      </c>
    </row>
    <row r="160" spans="1:30" ht="20.100000000000001" customHeight="1" x14ac:dyDescent="0.25">
      <c r="A160" s="24"/>
      <c r="B160" s="24"/>
      <c r="E160" s="17"/>
      <c r="F160" s="17"/>
      <c r="G160" s="17"/>
      <c r="H160" s="17"/>
      <c r="I160" s="42"/>
      <c r="J160" s="42"/>
      <c r="K160" s="17"/>
      <c r="L160" s="17"/>
      <c r="M160" s="18"/>
      <c r="N160" s="19"/>
      <c r="O160" s="19"/>
      <c r="P160" s="17"/>
      <c r="Y160" s="25" t="e">
        <f>INT(INDEX('Dados Consolidados'!$R$2:$R$38, MATCH(A160, 'Dados Consolidados'!$A$2:$A$38, 0)))</f>
        <v>#N/A</v>
      </c>
      <c r="Z160" s="25" t="e">
        <f>INT(INDEX('Dados Consolidados'!$S$2:$S$38, MATCH(B160, 'Dados Consolidados'!$B$2:$B$38, 0)))</f>
        <v>#N/A</v>
      </c>
      <c r="AA160" s="25" t="e">
        <f>INT(INDEX('Dados Consolidados'!$T$2:$T$38, MATCH(E160, 'Dados Consolidados'!$E$2:$E$38, 0)))</f>
        <v>#N/A</v>
      </c>
      <c r="AB160" s="25" t="e">
        <f>INT(INDEX('Dados Consolidados'!$U$2:$U$38, MATCH(H160, 'Dados Consolidados'!$H$2:$H$38, 0)))</f>
        <v>#N/A</v>
      </c>
      <c r="AC160" s="25" t="e">
        <f>INT(INDEX('Dados Consolidados'!$V$2:$V$38, MATCH(J160, 'Dados Consolidados'!$J$2:$J$38, 0)))</f>
        <v>#N/A</v>
      </c>
      <c r="AD160" s="25" t="e">
        <f>INT(INDEX('Dados Consolidados'!$W$2:$W$38, MATCH(P160, 'Dados Consolidados'!$P$2:$P$38, 0)))</f>
        <v>#N/A</v>
      </c>
    </row>
    <row r="161" spans="1:30" ht="20.100000000000001" customHeight="1" x14ac:dyDescent="0.25">
      <c r="A161" s="24"/>
      <c r="B161" s="24"/>
      <c r="E161" s="17"/>
      <c r="F161" s="17"/>
      <c r="G161" s="17"/>
      <c r="H161" s="17"/>
      <c r="I161" s="42"/>
      <c r="J161" s="42"/>
      <c r="K161" s="17"/>
      <c r="L161" s="17"/>
      <c r="M161" s="18"/>
      <c r="N161" s="19"/>
      <c r="O161" s="19"/>
      <c r="P161" s="17"/>
      <c r="Y161" s="25" t="e">
        <f>INT(INDEX('Dados Consolidados'!$R$2:$R$38, MATCH(A161, 'Dados Consolidados'!$A$2:$A$38, 0)))</f>
        <v>#N/A</v>
      </c>
      <c r="Z161" s="25" t="e">
        <f>INT(INDEX('Dados Consolidados'!$S$2:$S$38, MATCH(B161, 'Dados Consolidados'!$B$2:$B$38, 0)))</f>
        <v>#N/A</v>
      </c>
      <c r="AA161" s="25" t="e">
        <f>INT(INDEX('Dados Consolidados'!$T$2:$T$38, MATCH(E161, 'Dados Consolidados'!$E$2:$E$38, 0)))</f>
        <v>#N/A</v>
      </c>
      <c r="AB161" s="25" t="e">
        <f>INT(INDEX('Dados Consolidados'!$U$2:$U$38, MATCH(H161, 'Dados Consolidados'!$H$2:$H$38, 0)))</f>
        <v>#N/A</v>
      </c>
      <c r="AC161" s="25" t="e">
        <f>INT(INDEX('Dados Consolidados'!$V$2:$V$38, MATCH(J161, 'Dados Consolidados'!$J$2:$J$38, 0)))</f>
        <v>#N/A</v>
      </c>
      <c r="AD161" s="25" t="e">
        <f>INT(INDEX('Dados Consolidados'!$W$2:$W$38, MATCH(P161, 'Dados Consolidados'!$P$2:$P$38, 0)))</f>
        <v>#N/A</v>
      </c>
    </row>
    <row r="162" spans="1:30" ht="20.100000000000001" customHeight="1" x14ac:dyDescent="0.25">
      <c r="A162" s="24"/>
      <c r="B162" s="24"/>
      <c r="E162" s="17"/>
      <c r="F162" s="17"/>
      <c r="G162" s="17"/>
      <c r="H162" s="17"/>
      <c r="I162" s="42"/>
      <c r="J162" s="42"/>
      <c r="K162" s="17"/>
      <c r="L162" s="17"/>
      <c r="M162" s="18"/>
      <c r="N162" s="19"/>
      <c r="O162" s="19"/>
      <c r="P162" s="17"/>
      <c r="Y162" s="25" t="e">
        <f>INT(INDEX('Dados Consolidados'!$R$2:$R$38, MATCH(A162, 'Dados Consolidados'!$A$2:$A$38, 0)))</f>
        <v>#N/A</v>
      </c>
      <c r="Z162" s="25" t="e">
        <f>INT(INDEX('Dados Consolidados'!$S$2:$S$38, MATCH(B162, 'Dados Consolidados'!$B$2:$B$38, 0)))</f>
        <v>#N/A</v>
      </c>
      <c r="AA162" s="25" t="e">
        <f>INT(INDEX('Dados Consolidados'!$T$2:$T$38, MATCH(E162, 'Dados Consolidados'!$E$2:$E$38, 0)))</f>
        <v>#N/A</v>
      </c>
      <c r="AB162" s="25" t="e">
        <f>INT(INDEX('Dados Consolidados'!$U$2:$U$38, MATCH(H162, 'Dados Consolidados'!$H$2:$H$38, 0)))</f>
        <v>#N/A</v>
      </c>
      <c r="AC162" s="25" t="e">
        <f>INT(INDEX('Dados Consolidados'!$V$2:$V$38, MATCH(J162, 'Dados Consolidados'!$J$2:$J$38, 0)))</f>
        <v>#N/A</v>
      </c>
      <c r="AD162" s="25" t="e">
        <f>INT(INDEX('Dados Consolidados'!$W$2:$W$38, MATCH(P162, 'Dados Consolidados'!$P$2:$P$38, 0)))</f>
        <v>#N/A</v>
      </c>
    </row>
    <row r="163" spans="1:30" ht="20.100000000000001" customHeight="1" x14ac:dyDescent="0.25">
      <c r="A163" s="24"/>
      <c r="B163" s="24"/>
      <c r="E163" s="17"/>
      <c r="F163" s="17"/>
      <c r="G163" s="17"/>
      <c r="H163" s="17"/>
      <c r="I163" s="42"/>
      <c r="J163" s="42"/>
      <c r="K163" s="17"/>
      <c r="L163" s="17"/>
      <c r="M163" s="18"/>
      <c r="N163" s="19"/>
      <c r="O163" s="19"/>
      <c r="P163" s="17"/>
      <c r="Y163" s="25" t="e">
        <f>INT(INDEX('Dados Consolidados'!$R$2:$R$38, MATCH(A163, 'Dados Consolidados'!$A$2:$A$38, 0)))</f>
        <v>#N/A</v>
      </c>
      <c r="Z163" s="25" t="e">
        <f>INT(INDEX('Dados Consolidados'!$S$2:$S$38, MATCH(B163, 'Dados Consolidados'!$B$2:$B$38, 0)))</f>
        <v>#N/A</v>
      </c>
      <c r="AA163" s="25" t="e">
        <f>INT(INDEX('Dados Consolidados'!$T$2:$T$38, MATCH(E163, 'Dados Consolidados'!$E$2:$E$38, 0)))</f>
        <v>#N/A</v>
      </c>
      <c r="AB163" s="25" t="e">
        <f>INT(INDEX('Dados Consolidados'!$U$2:$U$38, MATCH(H163, 'Dados Consolidados'!$H$2:$H$38, 0)))</f>
        <v>#N/A</v>
      </c>
      <c r="AC163" s="25" t="e">
        <f>INT(INDEX('Dados Consolidados'!$V$2:$V$38, MATCH(J163, 'Dados Consolidados'!$J$2:$J$38, 0)))</f>
        <v>#N/A</v>
      </c>
      <c r="AD163" s="25" t="e">
        <f>INT(INDEX('Dados Consolidados'!$W$2:$W$38, MATCH(P163, 'Dados Consolidados'!$P$2:$P$38, 0)))</f>
        <v>#N/A</v>
      </c>
    </row>
    <row r="164" spans="1:30" ht="20.100000000000001" customHeight="1" x14ac:dyDescent="0.25">
      <c r="A164" s="24"/>
      <c r="B164" s="24"/>
      <c r="E164" s="17"/>
      <c r="F164" s="17"/>
      <c r="G164" s="17"/>
      <c r="H164" s="17"/>
      <c r="I164" s="42"/>
      <c r="J164" s="42"/>
      <c r="K164" s="17"/>
      <c r="L164" s="17"/>
      <c r="M164" s="18"/>
      <c r="N164" s="19"/>
      <c r="O164" s="19"/>
      <c r="P164" s="17"/>
      <c r="Y164" s="25" t="e">
        <f>INT(INDEX('Dados Consolidados'!$R$2:$R$38, MATCH(A164, 'Dados Consolidados'!$A$2:$A$38, 0)))</f>
        <v>#N/A</v>
      </c>
      <c r="Z164" s="25" t="e">
        <f>INT(INDEX('Dados Consolidados'!$S$2:$S$38, MATCH(B164, 'Dados Consolidados'!$B$2:$B$38, 0)))</f>
        <v>#N/A</v>
      </c>
      <c r="AA164" s="25" t="e">
        <f>INT(INDEX('Dados Consolidados'!$T$2:$T$38, MATCH(E164, 'Dados Consolidados'!$E$2:$E$38, 0)))</f>
        <v>#N/A</v>
      </c>
      <c r="AB164" s="25" t="e">
        <f>INT(INDEX('Dados Consolidados'!$U$2:$U$38, MATCH(H164, 'Dados Consolidados'!$H$2:$H$38, 0)))</f>
        <v>#N/A</v>
      </c>
      <c r="AC164" s="25" t="e">
        <f>INT(INDEX('Dados Consolidados'!$V$2:$V$38, MATCH(J164, 'Dados Consolidados'!$J$2:$J$38, 0)))</f>
        <v>#N/A</v>
      </c>
      <c r="AD164" s="25" t="e">
        <f>INT(INDEX('Dados Consolidados'!$W$2:$W$38, MATCH(P164, 'Dados Consolidados'!$P$2:$P$38, 0)))</f>
        <v>#N/A</v>
      </c>
    </row>
    <row r="165" spans="1:30" ht="20.100000000000001" customHeight="1" x14ac:dyDescent="0.25">
      <c r="A165" s="24"/>
      <c r="B165" s="24"/>
      <c r="E165" s="17"/>
      <c r="F165" s="17"/>
      <c r="G165" s="17"/>
      <c r="H165" s="17"/>
      <c r="I165" s="42"/>
      <c r="J165" s="42"/>
      <c r="K165" s="17"/>
      <c r="L165" s="17"/>
      <c r="M165" s="18"/>
      <c r="N165" s="19"/>
      <c r="O165" s="19"/>
      <c r="P165" s="17"/>
      <c r="Y165" s="25" t="e">
        <f>INT(INDEX('Dados Consolidados'!$R$2:$R$38, MATCH(A165, 'Dados Consolidados'!$A$2:$A$38, 0)))</f>
        <v>#N/A</v>
      </c>
      <c r="Z165" s="25" t="e">
        <f>INT(INDEX('Dados Consolidados'!$S$2:$S$38, MATCH(B165, 'Dados Consolidados'!$B$2:$B$38, 0)))</f>
        <v>#N/A</v>
      </c>
      <c r="AA165" s="25" t="e">
        <f>INT(INDEX('Dados Consolidados'!$T$2:$T$38, MATCH(E165, 'Dados Consolidados'!$E$2:$E$38, 0)))</f>
        <v>#N/A</v>
      </c>
      <c r="AB165" s="25" t="e">
        <f>INT(INDEX('Dados Consolidados'!$U$2:$U$38, MATCH(H165, 'Dados Consolidados'!$H$2:$H$38, 0)))</f>
        <v>#N/A</v>
      </c>
      <c r="AC165" s="25" t="e">
        <f>INT(INDEX('Dados Consolidados'!$V$2:$V$38, MATCH(J165, 'Dados Consolidados'!$J$2:$J$38, 0)))</f>
        <v>#N/A</v>
      </c>
      <c r="AD165" s="25" t="e">
        <f>INT(INDEX('Dados Consolidados'!$W$2:$W$38, MATCH(P165, 'Dados Consolidados'!$P$2:$P$38, 0)))</f>
        <v>#N/A</v>
      </c>
    </row>
    <row r="166" spans="1:30" ht="20.100000000000001" customHeight="1" x14ac:dyDescent="0.25">
      <c r="A166" s="24"/>
      <c r="B166" s="24"/>
      <c r="E166" s="17"/>
      <c r="F166" s="17"/>
      <c r="G166" s="17"/>
      <c r="H166" s="17"/>
      <c r="I166" s="42"/>
      <c r="J166" s="42"/>
      <c r="K166" s="17"/>
      <c r="L166" s="17"/>
      <c r="M166" s="18"/>
      <c r="N166" s="19"/>
      <c r="O166" s="19"/>
      <c r="P166" s="17"/>
      <c r="Y166" s="25" t="e">
        <f>INT(INDEX('Dados Consolidados'!$R$2:$R$38, MATCH(A166, 'Dados Consolidados'!$A$2:$A$38, 0)))</f>
        <v>#N/A</v>
      </c>
      <c r="Z166" s="25" t="e">
        <f>INT(INDEX('Dados Consolidados'!$S$2:$S$38, MATCH(B166, 'Dados Consolidados'!$B$2:$B$38, 0)))</f>
        <v>#N/A</v>
      </c>
      <c r="AA166" s="25" t="e">
        <f>INT(INDEX('Dados Consolidados'!$T$2:$T$38, MATCH(E166, 'Dados Consolidados'!$E$2:$E$38, 0)))</f>
        <v>#N/A</v>
      </c>
      <c r="AB166" s="25" t="e">
        <f>INT(INDEX('Dados Consolidados'!$U$2:$U$38, MATCH(H166, 'Dados Consolidados'!$H$2:$H$38, 0)))</f>
        <v>#N/A</v>
      </c>
      <c r="AC166" s="25" t="e">
        <f>INT(INDEX('Dados Consolidados'!$V$2:$V$38, MATCH(J166, 'Dados Consolidados'!$J$2:$J$38, 0)))</f>
        <v>#N/A</v>
      </c>
      <c r="AD166" s="25" t="e">
        <f>INT(INDEX('Dados Consolidados'!$W$2:$W$38, MATCH(P166, 'Dados Consolidados'!$P$2:$P$38, 0)))</f>
        <v>#N/A</v>
      </c>
    </row>
    <row r="167" spans="1:30" ht="20.100000000000001" customHeight="1" x14ac:dyDescent="0.25">
      <c r="A167" s="24"/>
      <c r="B167" s="24"/>
      <c r="E167" s="17"/>
      <c r="F167" s="17"/>
      <c r="G167" s="17"/>
      <c r="H167" s="17"/>
      <c r="I167" s="42"/>
      <c r="J167" s="42"/>
      <c r="K167" s="17"/>
      <c r="L167" s="17"/>
      <c r="M167" s="18"/>
      <c r="N167" s="19"/>
      <c r="O167" s="19"/>
      <c r="P167" s="17"/>
      <c r="Y167" s="25" t="e">
        <f>INT(INDEX('Dados Consolidados'!$R$2:$R$38, MATCH(A167, 'Dados Consolidados'!$A$2:$A$38, 0)))</f>
        <v>#N/A</v>
      </c>
      <c r="Z167" s="25" t="e">
        <f>INT(INDEX('Dados Consolidados'!$S$2:$S$38, MATCH(B167, 'Dados Consolidados'!$B$2:$B$38, 0)))</f>
        <v>#N/A</v>
      </c>
      <c r="AA167" s="25" t="e">
        <f>INT(INDEX('Dados Consolidados'!$T$2:$T$38, MATCH(E167, 'Dados Consolidados'!$E$2:$E$38, 0)))</f>
        <v>#N/A</v>
      </c>
      <c r="AB167" s="25" t="e">
        <f>INT(INDEX('Dados Consolidados'!$U$2:$U$38, MATCH(H167, 'Dados Consolidados'!$H$2:$H$38, 0)))</f>
        <v>#N/A</v>
      </c>
      <c r="AC167" s="25" t="e">
        <f>INT(INDEX('Dados Consolidados'!$V$2:$V$38, MATCH(J167, 'Dados Consolidados'!$J$2:$J$38, 0)))</f>
        <v>#N/A</v>
      </c>
      <c r="AD167" s="25" t="e">
        <f>INT(INDEX('Dados Consolidados'!$W$2:$W$38, MATCH(P167, 'Dados Consolidados'!$P$2:$P$38, 0)))</f>
        <v>#N/A</v>
      </c>
    </row>
    <row r="168" spans="1:30" ht="20.100000000000001" customHeight="1" x14ac:dyDescent="0.25">
      <c r="A168" s="24"/>
      <c r="B168" s="24"/>
      <c r="E168" s="17"/>
      <c r="F168" s="17"/>
      <c r="G168" s="17"/>
      <c r="H168" s="17"/>
      <c r="I168" s="42"/>
      <c r="J168" s="42"/>
      <c r="K168" s="17"/>
      <c r="L168" s="17"/>
      <c r="M168" s="18"/>
      <c r="N168" s="19"/>
      <c r="O168" s="19"/>
      <c r="P168" s="17"/>
      <c r="Y168" s="25" t="e">
        <f>INT(INDEX('Dados Consolidados'!$R$2:$R$38, MATCH(A168, 'Dados Consolidados'!$A$2:$A$38, 0)))</f>
        <v>#N/A</v>
      </c>
      <c r="Z168" s="25" t="e">
        <f>INT(INDEX('Dados Consolidados'!$S$2:$S$38, MATCH(B168, 'Dados Consolidados'!$B$2:$B$38, 0)))</f>
        <v>#N/A</v>
      </c>
      <c r="AA168" s="25" t="e">
        <f>INT(INDEX('Dados Consolidados'!$T$2:$T$38, MATCH(E168, 'Dados Consolidados'!$E$2:$E$38, 0)))</f>
        <v>#N/A</v>
      </c>
      <c r="AB168" s="25" t="e">
        <f>INT(INDEX('Dados Consolidados'!$U$2:$U$38, MATCH(H168, 'Dados Consolidados'!$H$2:$H$38, 0)))</f>
        <v>#N/A</v>
      </c>
      <c r="AC168" s="25" t="e">
        <f>INT(INDEX('Dados Consolidados'!$V$2:$V$38, MATCH(J168, 'Dados Consolidados'!$J$2:$J$38, 0)))</f>
        <v>#N/A</v>
      </c>
      <c r="AD168" s="25" t="e">
        <f>INT(INDEX('Dados Consolidados'!$W$2:$W$38, MATCH(P168, 'Dados Consolidados'!$P$2:$P$38, 0)))</f>
        <v>#N/A</v>
      </c>
    </row>
    <row r="169" spans="1:30" ht="20.100000000000001" customHeight="1" x14ac:dyDescent="0.25">
      <c r="A169" s="24"/>
      <c r="B169" s="24"/>
      <c r="E169" s="17"/>
      <c r="F169" s="17"/>
      <c r="G169" s="17"/>
      <c r="H169" s="17"/>
      <c r="I169" s="42"/>
      <c r="J169" s="42"/>
      <c r="K169" s="17"/>
      <c r="L169" s="17"/>
      <c r="M169" s="18"/>
      <c r="N169" s="19"/>
      <c r="O169" s="19"/>
      <c r="P169" s="17"/>
      <c r="Y169" s="25" t="e">
        <f>INT(INDEX('Dados Consolidados'!$R$2:$R$38, MATCH(A169, 'Dados Consolidados'!$A$2:$A$38, 0)))</f>
        <v>#N/A</v>
      </c>
      <c r="Z169" s="25" t="e">
        <f>INT(INDEX('Dados Consolidados'!$S$2:$S$38, MATCH(B169, 'Dados Consolidados'!$B$2:$B$38, 0)))</f>
        <v>#N/A</v>
      </c>
      <c r="AA169" s="25" t="e">
        <f>INT(INDEX('Dados Consolidados'!$T$2:$T$38, MATCH(E169, 'Dados Consolidados'!$E$2:$E$38, 0)))</f>
        <v>#N/A</v>
      </c>
      <c r="AB169" s="25" t="e">
        <f>INT(INDEX('Dados Consolidados'!$U$2:$U$38, MATCH(H169, 'Dados Consolidados'!$H$2:$H$38, 0)))</f>
        <v>#N/A</v>
      </c>
      <c r="AC169" s="25" t="e">
        <f>INT(INDEX('Dados Consolidados'!$V$2:$V$38, MATCH(J169, 'Dados Consolidados'!$J$2:$J$38, 0)))</f>
        <v>#N/A</v>
      </c>
      <c r="AD169" s="25" t="e">
        <f>INT(INDEX('Dados Consolidados'!$W$2:$W$38, MATCH(P169, 'Dados Consolidados'!$P$2:$P$38, 0)))</f>
        <v>#N/A</v>
      </c>
    </row>
    <row r="170" spans="1:30" ht="20.100000000000001" customHeight="1" x14ac:dyDescent="0.25">
      <c r="A170" s="24"/>
      <c r="B170" s="24"/>
      <c r="E170" s="17"/>
      <c r="F170" s="17"/>
      <c r="G170" s="17"/>
      <c r="H170" s="17"/>
      <c r="I170" s="42"/>
      <c r="J170" s="42"/>
      <c r="K170" s="17"/>
      <c r="L170" s="17"/>
      <c r="M170" s="18"/>
      <c r="N170" s="19"/>
      <c r="O170" s="19"/>
      <c r="P170" s="17"/>
      <c r="Y170" s="25" t="e">
        <f>INT(INDEX('Dados Consolidados'!$R$2:$R$38, MATCH(A170, 'Dados Consolidados'!$A$2:$A$38, 0)))</f>
        <v>#N/A</v>
      </c>
      <c r="Z170" s="25" t="e">
        <f>INT(INDEX('Dados Consolidados'!$S$2:$S$38, MATCH(B170, 'Dados Consolidados'!$B$2:$B$38, 0)))</f>
        <v>#N/A</v>
      </c>
      <c r="AA170" s="25" t="e">
        <f>INT(INDEX('Dados Consolidados'!$T$2:$T$38, MATCH(E170, 'Dados Consolidados'!$E$2:$E$38, 0)))</f>
        <v>#N/A</v>
      </c>
      <c r="AB170" s="25" t="e">
        <f>INT(INDEX('Dados Consolidados'!$U$2:$U$38, MATCH(H170, 'Dados Consolidados'!$H$2:$H$38, 0)))</f>
        <v>#N/A</v>
      </c>
      <c r="AC170" s="25" t="e">
        <f>INT(INDEX('Dados Consolidados'!$V$2:$V$38, MATCH(J170, 'Dados Consolidados'!$J$2:$J$38, 0)))</f>
        <v>#N/A</v>
      </c>
      <c r="AD170" s="25" t="e">
        <f>INT(INDEX('Dados Consolidados'!$W$2:$W$38, MATCH(P170, 'Dados Consolidados'!$P$2:$P$38, 0)))</f>
        <v>#N/A</v>
      </c>
    </row>
    <row r="171" spans="1:30" ht="20.100000000000001" customHeight="1" x14ac:dyDescent="0.25">
      <c r="A171" s="24"/>
      <c r="B171" s="24"/>
      <c r="E171" s="17"/>
      <c r="F171" s="17"/>
      <c r="G171" s="17"/>
      <c r="H171" s="17"/>
      <c r="I171" s="42"/>
      <c r="J171" s="42"/>
      <c r="K171" s="17"/>
      <c r="L171" s="17"/>
      <c r="M171" s="18"/>
      <c r="N171" s="19"/>
      <c r="O171" s="19"/>
      <c r="P171" s="17"/>
      <c r="Y171" s="25" t="e">
        <f>INT(INDEX('Dados Consolidados'!$R$2:$R$38, MATCH(A171, 'Dados Consolidados'!$A$2:$A$38, 0)))</f>
        <v>#N/A</v>
      </c>
      <c r="Z171" s="25" t="e">
        <f>INT(INDEX('Dados Consolidados'!$S$2:$S$38, MATCH(B171, 'Dados Consolidados'!$B$2:$B$38, 0)))</f>
        <v>#N/A</v>
      </c>
      <c r="AA171" s="25" t="e">
        <f>INT(INDEX('Dados Consolidados'!$T$2:$T$38, MATCH(E171, 'Dados Consolidados'!$E$2:$E$38, 0)))</f>
        <v>#N/A</v>
      </c>
      <c r="AB171" s="25" t="e">
        <f>INT(INDEX('Dados Consolidados'!$U$2:$U$38, MATCH(H171, 'Dados Consolidados'!$H$2:$H$38, 0)))</f>
        <v>#N/A</v>
      </c>
      <c r="AC171" s="25" t="e">
        <f>INT(INDEX('Dados Consolidados'!$V$2:$V$38, MATCH(J171, 'Dados Consolidados'!$J$2:$J$38, 0)))</f>
        <v>#N/A</v>
      </c>
      <c r="AD171" s="25" t="e">
        <f>INT(INDEX('Dados Consolidados'!$W$2:$W$38, MATCH(P171, 'Dados Consolidados'!$P$2:$P$38, 0)))</f>
        <v>#N/A</v>
      </c>
    </row>
    <row r="172" spans="1:30" ht="20.100000000000001" customHeight="1" x14ac:dyDescent="0.25">
      <c r="A172" s="24"/>
      <c r="B172" s="24"/>
      <c r="E172" s="17"/>
      <c r="F172" s="17"/>
      <c r="G172" s="17"/>
      <c r="H172" s="17"/>
      <c r="I172" s="42"/>
      <c r="J172" s="42"/>
      <c r="K172" s="17"/>
      <c r="L172" s="17"/>
      <c r="M172" s="18"/>
      <c r="N172" s="19"/>
      <c r="O172" s="19"/>
      <c r="P172" s="17"/>
      <c r="Y172" s="25" t="e">
        <f>INT(INDEX('Dados Consolidados'!$R$2:$R$38, MATCH(A172, 'Dados Consolidados'!$A$2:$A$38, 0)))</f>
        <v>#N/A</v>
      </c>
      <c r="Z172" s="25" t="e">
        <f>INT(INDEX('Dados Consolidados'!$S$2:$S$38, MATCH(B172, 'Dados Consolidados'!$B$2:$B$38, 0)))</f>
        <v>#N/A</v>
      </c>
      <c r="AA172" s="25" t="e">
        <f>INT(INDEX('Dados Consolidados'!$T$2:$T$38, MATCH(E172, 'Dados Consolidados'!$E$2:$E$38, 0)))</f>
        <v>#N/A</v>
      </c>
      <c r="AB172" s="25" t="e">
        <f>INT(INDEX('Dados Consolidados'!$U$2:$U$38, MATCH(H172, 'Dados Consolidados'!$H$2:$H$38, 0)))</f>
        <v>#N/A</v>
      </c>
      <c r="AC172" s="25" t="e">
        <f>INT(INDEX('Dados Consolidados'!$V$2:$V$38, MATCH(J172, 'Dados Consolidados'!$J$2:$J$38, 0)))</f>
        <v>#N/A</v>
      </c>
      <c r="AD172" s="25" t="e">
        <f>INT(INDEX('Dados Consolidados'!$W$2:$W$38, MATCH(P172, 'Dados Consolidados'!$P$2:$P$38, 0)))</f>
        <v>#N/A</v>
      </c>
    </row>
    <row r="173" spans="1:30" ht="20.100000000000001" customHeight="1" x14ac:dyDescent="0.25">
      <c r="A173" s="24"/>
      <c r="B173" s="24"/>
      <c r="E173" s="17"/>
      <c r="F173" s="17"/>
      <c r="G173" s="17"/>
      <c r="H173" s="17"/>
      <c r="I173" s="42"/>
      <c r="J173" s="42"/>
      <c r="K173" s="17"/>
      <c r="L173" s="17"/>
      <c r="M173" s="18"/>
      <c r="N173" s="19"/>
      <c r="O173" s="19"/>
      <c r="P173" s="17"/>
      <c r="Y173" s="25" t="e">
        <f>INT(INDEX('Dados Consolidados'!$R$2:$R$38, MATCH(A173, 'Dados Consolidados'!$A$2:$A$38, 0)))</f>
        <v>#N/A</v>
      </c>
      <c r="Z173" s="25" t="e">
        <f>INT(INDEX('Dados Consolidados'!$S$2:$S$38, MATCH(B173, 'Dados Consolidados'!$B$2:$B$38, 0)))</f>
        <v>#N/A</v>
      </c>
      <c r="AA173" s="25" t="e">
        <f>INT(INDEX('Dados Consolidados'!$T$2:$T$38, MATCH(E173, 'Dados Consolidados'!$E$2:$E$38, 0)))</f>
        <v>#N/A</v>
      </c>
      <c r="AB173" s="25" t="e">
        <f>INT(INDEX('Dados Consolidados'!$U$2:$U$38, MATCH(H173, 'Dados Consolidados'!$H$2:$H$38, 0)))</f>
        <v>#N/A</v>
      </c>
      <c r="AC173" s="25" t="e">
        <f>INT(INDEX('Dados Consolidados'!$V$2:$V$38, MATCH(J173, 'Dados Consolidados'!$J$2:$J$38, 0)))</f>
        <v>#N/A</v>
      </c>
      <c r="AD173" s="25" t="e">
        <f>INT(INDEX('Dados Consolidados'!$W$2:$W$38, MATCH(P173, 'Dados Consolidados'!$P$2:$P$38, 0)))</f>
        <v>#N/A</v>
      </c>
    </row>
    <row r="174" spans="1:30" ht="20.100000000000001" customHeight="1" x14ac:dyDescent="0.25">
      <c r="A174" s="24"/>
      <c r="B174" s="24"/>
      <c r="E174" s="17"/>
      <c r="F174" s="17"/>
      <c r="G174" s="17"/>
      <c r="H174" s="17"/>
      <c r="I174" s="42"/>
      <c r="J174" s="42"/>
      <c r="K174" s="17"/>
      <c r="L174" s="17"/>
      <c r="M174" s="18"/>
      <c r="N174" s="19"/>
      <c r="O174" s="19"/>
      <c r="P174" s="17"/>
      <c r="Y174" s="25" t="e">
        <f>INT(INDEX('Dados Consolidados'!$R$2:$R$38, MATCH(A174, 'Dados Consolidados'!$A$2:$A$38, 0)))</f>
        <v>#N/A</v>
      </c>
      <c r="Z174" s="25" t="e">
        <f>INT(INDEX('Dados Consolidados'!$S$2:$S$38, MATCH(B174, 'Dados Consolidados'!$B$2:$B$38, 0)))</f>
        <v>#N/A</v>
      </c>
      <c r="AA174" s="25" t="e">
        <f>INT(INDEX('Dados Consolidados'!$T$2:$T$38, MATCH(E174, 'Dados Consolidados'!$E$2:$E$38, 0)))</f>
        <v>#N/A</v>
      </c>
      <c r="AB174" s="25" t="e">
        <f>INT(INDEX('Dados Consolidados'!$U$2:$U$38, MATCH(H174, 'Dados Consolidados'!$H$2:$H$38, 0)))</f>
        <v>#N/A</v>
      </c>
      <c r="AC174" s="25" t="e">
        <f>INT(INDEX('Dados Consolidados'!$V$2:$V$38, MATCH(J174, 'Dados Consolidados'!$J$2:$J$38, 0)))</f>
        <v>#N/A</v>
      </c>
      <c r="AD174" s="25" t="e">
        <f>INT(INDEX('Dados Consolidados'!$W$2:$W$38, MATCH(P174, 'Dados Consolidados'!$P$2:$P$38, 0)))</f>
        <v>#N/A</v>
      </c>
    </row>
    <row r="175" spans="1:30" ht="20.100000000000001" customHeight="1" x14ac:dyDescent="0.25">
      <c r="A175" s="24"/>
      <c r="B175" s="24"/>
      <c r="E175" s="17"/>
      <c r="F175" s="17"/>
      <c r="G175" s="17"/>
      <c r="H175" s="17"/>
      <c r="I175" s="42"/>
      <c r="J175" s="42"/>
      <c r="K175" s="17"/>
      <c r="L175" s="17"/>
      <c r="M175" s="18"/>
      <c r="N175" s="19"/>
      <c r="O175" s="19"/>
      <c r="P175" s="17"/>
      <c r="Y175" s="25" t="e">
        <f>INT(INDEX('Dados Consolidados'!$R$2:$R$38, MATCH(A175, 'Dados Consolidados'!$A$2:$A$38, 0)))</f>
        <v>#N/A</v>
      </c>
      <c r="Z175" s="25" t="e">
        <f>INT(INDEX('Dados Consolidados'!$S$2:$S$38, MATCH(B175, 'Dados Consolidados'!$B$2:$B$38, 0)))</f>
        <v>#N/A</v>
      </c>
      <c r="AA175" s="25" t="e">
        <f>INT(INDEX('Dados Consolidados'!$T$2:$T$38, MATCH(E175, 'Dados Consolidados'!$E$2:$E$38, 0)))</f>
        <v>#N/A</v>
      </c>
      <c r="AB175" s="25" t="e">
        <f>INT(INDEX('Dados Consolidados'!$U$2:$U$38, MATCH(H175, 'Dados Consolidados'!$H$2:$H$38, 0)))</f>
        <v>#N/A</v>
      </c>
      <c r="AC175" s="25" t="e">
        <f>INT(INDEX('Dados Consolidados'!$V$2:$V$38, MATCH(J175, 'Dados Consolidados'!$J$2:$J$38, 0)))</f>
        <v>#N/A</v>
      </c>
      <c r="AD175" s="25" t="e">
        <f>INT(INDEX('Dados Consolidados'!$W$2:$W$38, MATCH(P175, 'Dados Consolidados'!$P$2:$P$38, 0)))</f>
        <v>#N/A</v>
      </c>
    </row>
    <row r="176" spans="1:30" ht="20.100000000000001" customHeight="1" x14ac:dyDescent="0.25">
      <c r="A176" s="24"/>
      <c r="B176" s="24"/>
      <c r="E176" s="17"/>
      <c r="F176" s="17"/>
      <c r="G176" s="17"/>
      <c r="H176" s="17"/>
      <c r="I176" s="42"/>
      <c r="J176" s="42"/>
      <c r="K176" s="17"/>
      <c r="L176" s="17"/>
      <c r="M176" s="18"/>
      <c r="N176" s="19"/>
      <c r="O176" s="19"/>
      <c r="P176" s="17"/>
      <c r="Y176" s="25" t="e">
        <f>INT(INDEX('Dados Consolidados'!$R$2:$R$38, MATCH(A176, 'Dados Consolidados'!$A$2:$A$38, 0)))</f>
        <v>#N/A</v>
      </c>
      <c r="Z176" s="25" t="e">
        <f>INT(INDEX('Dados Consolidados'!$S$2:$S$38, MATCH(B176, 'Dados Consolidados'!$B$2:$B$38, 0)))</f>
        <v>#N/A</v>
      </c>
      <c r="AA176" s="25" t="e">
        <f>INT(INDEX('Dados Consolidados'!$T$2:$T$38, MATCH(E176, 'Dados Consolidados'!$E$2:$E$38, 0)))</f>
        <v>#N/A</v>
      </c>
      <c r="AB176" s="25" t="e">
        <f>INT(INDEX('Dados Consolidados'!$U$2:$U$38, MATCH(H176, 'Dados Consolidados'!$H$2:$H$38, 0)))</f>
        <v>#N/A</v>
      </c>
      <c r="AC176" s="25" t="e">
        <f>INT(INDEX('Dados Consolidados'!$V$2:$V$38, MATCH(J176, 'Dados Consolidados'!$J$2:$J$38, 0)))</f>
        <v>#N/A</v>
      </c>
      <c r="AD176" s="25" t="e">
        <f>INT(INDEX('Dados Consolidados'!$W$2:$W$38, MATCH(P176, 'Dados Consolidados'!$P$2:$P$38, 0)))</f>
        <v>#N/A</v>
      </c>
    </row>
    <row r="177" spans="1:30" ht="20.100000000000001" customHeight="1" x14ac:dyDescent="0.25">
      <c r="A177" s="24"/>
      <c r="B177" s="24"/>
      <c r="E177" s="17"/>
      <c r="F177" s="17"/>
      <c r="G177" s="17"/>
      <c r="H177" s="17"/>
      <c r="I177" s="42"/>
      <c r="J177" s="42"/>
      <c r="K177" s="17"/>
      <c r="L177" s="17"/>
      <c r="M177" s="18"/>
      <c r="N177" s="19"/>
      <c r="O177" s="19"/>
      <c r="P177" s="17"/>
      <c r="Y177" s="25" t="e">
        <f>INT(INDEX('Dados Consolidados'!$R$2:$R$38, MATCH(A177, 'Dados Consolidados'!$A$2:$A$38, 0)))</f>
        <v>#N/A</v>
      </c>
      <c r="Z177" s="25" t="e">
        <f>INT(INDEX('Dados Consolidados'!$S$2:$S$38, MATCH(B177, 'Dados Consolidados'!$B$2:$B$38, 0)))</f>
        <v>#N/A</v>
      </c>
      <c r="AA177" s="25" t="e">
        <f>INT(INDEX('Dados Consolidados'!$T$2:$T$38, MATCH(E177, 'Dados Consolidados'!$E$2:$E$38, 0)))</f>
        <v>#N/A</v>
      </c>
      <c r="AB177" s="25" t="e">
        <f>INT(INDEX('Dados Consolidados'!$U$2:$U$38, MATCH(H177, 'Dados Consolidados'!$H$2:$H$38, 0)))</f>
        <v>#N/A</v>
      </c>
      <c r="AC177" s="25" t="e">
        <f>INT(INDEX('Dados Consolidados'!$V$2:$V$38, MATCH(J177, 'Dados Consolidados'!$J$2:$J$38, 0)))</f>
        <v>#N/A</v>
      </c>
      <c r="AD177" s="25" t="e">
        <f>INT(INDEX('Dados Consolidados'!$W$2:$W$38, MATCH(P177, 'Dados Consolidados'!$P$2:$P$38, 0)))</f>
        <v>#N/A</v>
      </c>
    </row>
    <row r="178" spans="1:30" ht="20.100000000000001" customHeight="1" x14ac:dyDescent="0.25">
      <c r="A178" s="24"/>
      <c r="B178" s="24"/>
      <c r="E178" s="17"/>
      <c r="F178" s="17"/>
      <c r="G178" s="17"/>
      <c r="H178" s="17"/>
      <c r="I178" s="42"/>
      <c r="J178" s="42"/>
      <c r="K178" s="17"/>
      <c r="L178" s="17"/>
      <c r="M178" s="18"/>
      <c r="N178" s="19"/>
      <c r="O178" s="19"/>
      <c r="P178" s="17"/>
      <c r="Y178" s="25" t="e">
        <f>INT(INDEX('Dados Consolidados'!$R$2:$R$38, MATCH(A178, 'Dados Consolidados'!$A$2:$A$38, 0)))</f>
        <v>#N/A</v>
      </c>
      <c r="Z178" s="25" t="e">
        <f>INT(INDEX('Dados Consolidados'!$S$2:$S$38, MATCH(B178, 'Dados Consolidados'!$B$2:$B$38, 0)))</f>
        <v>#N/A</v>
      </c>
      <c r="AA178" s="25" t="e">
        <f>INT(INDEX('Dados Consolidados'!$T$2:$T$38, MATCH(E178, 'Dados Consolidados'!$E$2:$E$38, 0)))</f>
        <v>#N/A</v>
      </c>
      <c r="AB178" s="25" t="e">
        <f>INT(INDEX('Dados Consolidados'!$U$2:$U$38, MATCH(H178, 'Dados Consolidados'!$H$2:$H$38, 0)))</f>
        <v>#N/A</v>
      </c>
      <c r="AC178" s="25" t="e">
        <f>INT(INDEX('Dados Consolidados'!$V$2:$V$38, MATCH(J178, 'Dados Consolidados'!$J$2:$J$38, 0)))</f>
        <v>#N/A</v>
      </c>
      <c r="AD178" s="25" t="e">
        <f>INT(INDEX('Dados Consolidados'!$W$2:$W$38, MATCH(P178, 'Dados Consolidados'!$P$2:$P$38, 0)))</f>
        <v>#N/A</v>
      </c>
    </row>
    <row r="179" spans="1:30" ht="20.100000000000001" customHeight="1" x14ac:dyDescent="0.25">
      <c r="A179" s="24"/>
      <c r="B179" s="24"/>
      <c r="E179" s="17"/>
      <c r="F179" s="17"/>
      <c r="G179" s="17"/>
      <c r="H179" s="17"/>
      <c r="I179" s="42"/>
      <c r="J179" s="42"/>
      <c r="K179" s="17"/>
      <c r="L179" s="17"/>
      <c r="M179" s="18"/>
      <c r="N179" s="19"/>
      <c r="O179" s="19"/>
      <c r="P179" s="17"/>
      <c r="Y179" s="25" t="e">
        <f>INT(INDEX('Dados Consolidados'!$R$2:$R$38, MATCH(A179, 'Dados Consolidados'!$A$2:$A$38, 0)))</f>
        <v>#N/A</v>
      </c>
      <c r="Z179" s="25" t="e">
        <f>INT(INDEX('Dados Consolidados'!$S$2:$S$38, MATCH(B179, 'Dados Consolidados'!$B$2:$B$38, 0)))</f>
        <v>#N/A</v>
      </c>
      <c r="AA179" s="25" t="e">
        <f>INT(INDEX('Dados Consolidados'!$T$2:$T$38, MATCH(E179, 'Dados Consolidados'!$E$2:$E$38, 0)))</f>
        <v>#N/A</v>
      </c>
      <c r="AB179" s="25" t="e">
        <f>INT(INDEX('Dados Consolidados'!$U$2:$U$38, MATCH(H179, 'Dados Consolidados'!$H$2:$H$38, 0)))</f>
        <v>#N/A</v>
      </c>
      <c r="AC179" s="25" t="e">
        <f>INT(INDEX('Dados Consolidados'!$V$2:$V$38, MATCH(J179, 'Dados Consolidados'!$J$2:$J$38, 0)))</f>
        <v>#N/A</v>
      </c>
      <c r="AD179" s="25" t="e">
        <f>INT(INDEX('Dados Consolidados'!$W$2:$W$38, MATCH(P179, 'Dados Consolidados'!$P$2:$P$38, 0)))</f>
        <v>#N/A</v>
      </c>
    </row>
    <row r="180" spans="1:30" ht="20.100000000000001" customHeight="1" x14ac:dyDescent="0.25">
      <c r="A180" s="24"/>
      <c r="B180" s="24"/>
      <c r="E180" s="17"/>
      <c r="F180" s="17"/>
      <c r="G180" s="17"/>
      <c r="H180" s="17"/>
      <c r="I180" s="42"/>
      <c r="J180" s="42"/>
      <c r="K180" s="17"/>
      <c r="L180" s="17"/>
      <c r="M180" s="18"/>
      <c r="N180" s="19"/>
      <c r="O180" s="19"/>
      <c r="P180" s="17"/>
      <c r="Y180" s="25" t="e">
        <f>INT(INDEX('Dados Consolidados'!$R$2:$R$38, MATCH(A180, 'Dados Consolidados'!$A$2:$A$38, 0)))</f>
        <v>#N/A</v>
      </c>
      <c r="Z180" s="25" t="e">
        <f>INT(INDEX('Dados Consolidados'!$S$2:$S$38, MATCH(B180, 'Dados Consolidados'!$B$2:$B$38, 0)))</f>
        <v>#N/A</v>
      </c>
      <c r="AA180" s="25" t="e">
        <f>INT(INDEX('Dados Consolidados'!$T$2:$T$38, MATCH(E180, 'Dados Consolidados'!$E$2:$E$38, 0)))</f>
        <v>#N/A</v>
      </c>
      <c r="AB180" s="25" t="e">
        <f>INT(INDEX('Dados Consolidados'!$U$2:$U$38, MATCH(H180, 'Dados Consolidados'!$H$2:$H$38, 0)))</f>
        <v>#N/A</v>
      </c>
      <c r="AC180" s="25" t="e">
        <f>INT(INDEX('Dados Consolidados'!$V$2:$V$38, MATCH(J180, 'Dados Consolidados'!$J$2:$J$38, 0)))</f>
        <v>#N/A</v>
      </c>
      <c r="AD180" s="25" t="e">
        <f>INT(INDEX('Dados Consolidados'!$W$2:$W$38, MATCH(P180, 'Dados Consolidados'!$P$2:$P$38, 0)))</f>
        <v>#N/A</v>
      </c>
    </row>
    <row r="181" spans="1:30" ht="20.100000000000001" customHeight="1" x14ac:dyDescent="0.25">
      <c r="A181" s="24"/>
      <c r="B181" s="24"/>
      <c r="E181" s="17"/>
      <c r="F181" s="17"/>
      <c r="G181" s="17"/>
      <c r="H181" s="17"/>
      <c r="I181" s="42"/>
      <c r="J181" s="42"/>
      <c r="K181" s="17"/>
      <c r="L181" s="17"/>
      <c r="M181" s="18"/>
      <c r="N181" s="19"/>
      <c r="O181" s="19"/>
      <c r="P181" s="17"/>
      <c r="Y181" s="25" t="e">
        <f>INT(INDEX('Dados Consolidados'!$R$2:$R$38, MATCH(A181, 'Dados Consolidados'!$A$2:$A$38, 0)))</f>
        <v>#N/A</v>
      </c>
      <c r="Z181" s="25" t="e">
        <f>INT(INDEX('Dados Consolidados'!$S$2:$S$38, MATCH(B181, 'Dados Consolidados'!$B$2:$B$38, 0)))</f>
        <v>#N/A</v>
      </c>
      <c r="AA181" s="25" t="e">
        <f>INT(INDEX('Dados Consolidados'!$T$2:$T$38, MATCH(E181, 'Dados Consolidados'!$E$2:$E$38, 0)))</f>
        <v>#N/A</v>
      </c>
      <c r="AB181" s="25" t="e">
        <f>INT(INDEX('Dados Consolidados'!$U$2:$U$38, MATCH(H181, 'Dados Consolidados'!$H$2:$H$38, 0)))</f>
        <v>#N/A</v>
      </c>
      <c r="AC181" s="25" t="e">
        <f>INT(INDEX('Dados Consolidados'!$V$2:$V$38, MATCH(J181, 'Dados Consolidados'!$J$2:$J$38, 0)))</f>
        <v>#N/A</v>
      </c>
      <c r="AD181" s="25" t="e">
        <f>INT(INDEX('Dados Consolidados'!$W$2:$W$38, MATCH(P181, 'Dados Consolidados'!$P$2:$P$38, 0)))</f>
        <v>#N/A</v>
      </c>
    </row>
    <row r="182" spans="1:30" ht="20.100000000000001" customHeight="1" x14ac:dyDescent="0.25">
      <c r="A182" s="24"/>
      <c r="B182" s="24"/>
      <c r="E182" s="17"/>
      <c r="F182" s="17"/>
      <c r="G182" s="17"/>
      <c r="H182" s="17"/>
      <c r="I182" s="42"/>
      <c r="J182" s="42"/>
      <c r="K182" s="17"/>
      <c r="L182" s="17"/>
      <c r="M182" s="18"/>
      <c r="N182" s="19"/>
      <c r="O182" s="19"/>
      <c r="P182" s="17"/>
      <c r="Y182" s="25" t="e">
        <f>INT(INDEX('Dados Consolidados'!$R$2:$R$38, MATCH(A182, 'Dados Consolidados'!$A$2:$A$38, 0)))</f>
        <v>#N/A</v>
      </c>
      <c r="Z182" s="25" t="e">
        <f>INT(INDEX('Dados Consolidados'!$S$2:$S$38, MATCH(B182, 'Dados Consolidados'!$B$2:$B$38, 0)))</f>
        <v>#N/A</v>
      </c>
      <c r="AA182" s="25" t="e">
        <f>INT(INDEX('Dados Consolidados'!$T$2:$T$38, MATCH(E182, 'Dados Consolidados'!$E$2:$E$38, 0)))</f>
        <v>#N/A</v>
      </c>
      <c r="AB182" s="25" t="e">
        <f>INT(INDEX('Dados Consolidados'!$U$2:$U$38, MATCH(H182, 'Dados Consolidados'!$H$2:$H$38, 0)))</f>
        <v>#N/A</v>
      </c>
      <c r="AC182" s="25" t="e">
        <f>INT(INDEX('Dados Consolidados'!$V$2:$V$38, MATCH(J182, 'Dados Consolidados'!$J$2:$J$38, 0)))</f>
        <v>#N/A</v>
      </c>
      <c r="AD182" s="25" t="e">
        <f>INT(INDEX('Dados Consolidados'!$W$2:$W$38, MATCH(P182, 'Dados Consolidados'!$P$2:$P$38, 0)))</f>
        <v>#N/A</v>
      </c>
    </row>
    <row r="183" spans="1:30" ht="20.100000000000001" customHeight="1" x14ac:dyDescent="0.25">
      <c r="A183" s="24"/>
      <c r="B183" s="24"/>
      <c r="E183" s="17"/>
      <c r="F183" s="17"/>
      <c r="G183" s="17"/>
      <c r="H183" s="17"/>
      <c r="I183" s="42"/>
      <c r="J183" s="42"/>
      <c r="K183" s="17"/>
      <c r="L183" s="17"/>
      <c r="M183" s="18"/>
      <c r="N183" s="19"/>
      <c r="O183" s="19"/>
      <c r="P183" s="17"/>
      <c r="Y183" s="25" t="e">
        <f>INT(INDEX('Dados Consolidados'!$R$2:$R$38, MATCH(A183, 'Dados Consolidados'!$A$2:$A$38, 0)))</f>
        <v>#N/A</v>
      </c>
      <c r="Z183" s="25" t="e">
        <f>INT(INDEX('Dados Consolidados'!$S$2:$S$38, MATCH(B183, 'Dados Consolidados'!$B$2:$B$38, 0)))</f>
        <v>#N/A</v>
      </c>
      <c r="AA183" s="25" t="e">
        <f>INT(INDEX('Dados Consolidados'!$T$2:$T$38, MATCH(E183, 'Dados Consolidados'!$E$2:$E$38, 0)))</f>
        <v>#N/A</v>
      </c>
      <c r="AB183" s="25" t="e">
        <f>INT(INDEX('Dados Consolidados'!$U$2:$U$38, MATCH(H183, 'Dados Consolidados'!$H$2:$H$38, 0)))</f>
        <v>#N/A</v>
      </c>
      <c r="AC183" s="25" t="e">
        <f>INT(INDEX('Dados Consolidados'!$V$2:$V$38, MATCH(J183, 'Dados Consolidados'!$J$2:$J$38, 0)))</f>
        <v>#N/A</v>
      </c>
      <c r="AD183" s="25" t="e">
        <f>INT(INDEX('Dados Consolidados'!$W$2:$W$38, MATCH(P183, 'Dados Consolidados'!$P$2:$P$38, 0)))</f>
        <v>#N/A</v>
      </c>
    </row>
    <row r="184" spans="1:30" ht="20.100000000000001" customHeight="1" x14ac:dyDescent="0.25">
      <c r="A184" s="24"/>
      <c r="B184" s="24"/>
      <c r="E184" s="17"/>
      <c r="F184" s="17"/>
      <c r="G184" s="17"/>
      <c r="H184" s="17"/>
      <c r="I184" s="42"/>
      <c r="J184" s="42"/>
      <c r="K184" s="17"/>
      <c r="L184" s="17"/>
      <c r="M184" s="18"/>
      <c r="N184" s="19"/>
      <c r="O184" s="19"/>
      <c r="P184" s="17"/>
      <c r="Y184" s="25" t="e">
        <f>INT(INDEX('Dados Consolidados'!$R$2:$R$38, MATCH(A184, 'Dados Consolidados'!$A$2:$A$38, 0)))</f>
        <v>#N/A</v>
      </c>
      <c r="Z184" s="25" t="e">
        <f>INT(INDEX('Dados Consolidados'!$S$2:$S$38, MATCH(B184, 'Dados Consolidados'!$B$2:$B$38, 0)))</f>
        <v>#N/A</v>
      </c>
      <c r="AA184" s="25" t="e">
        <f>INT(INDEX('Dados Consolidados'!$T$2:$T$38, MATCH(E184, 'Dados Consolidados'!$E$2:$E$38, 0)))</f>
        <v>#N/A</v>
      </c>
      <c r="AB184" s="25" t="e">
        <f>INT(INDEX('Dados Consolidados'!$U$2:$U$38, MATCH(H184, 'Dados Consolidados'!$H$2:$H$38, 0)))</f>
        <v>#N/A</v>
      </c>
      <c r="AC184" s="25" t="e">
        <f>INT(INDEX('Dados Consolidados'!$V$2:$V$38, MATCH(J184, 'Dados Consolidados'!$J$2:$J$38, 0)))</f>
        <v>#N/A</v>
      </c>
      <c r="AD184" s="25" t="e">
        <f>INT(INDEX('Dados Consolidados'!$W$2:$W$38, MATCH(P184, 'Dados Consolidados'!$P$2:$P$38, 0)))</f>
        <v>#N/A</v>
      </c>
    </row>
    <row r="185" spans="1:30" ht="20.100000000000001" customHeight="1" x14ac:dyDescent="0.25">
      <c r="A185" s="24"/>
      <c r="B185" s="24"/>
      <c r="E185" s="17"/>
      <c r="F185" s="17"/>
      <c r="G185" s="17"/>
      <c r="H185" s="17"/>
      <c r="I185" s="42"/>
      <c r="J185" s="42"/>
      <c r="K185" s="17"/>
      <c r="L185" s="17"/>
      <c r="M185" s="18"/>
      <c r="N185" s="19"/>
      <c r="O185" s="19"/>
      <c r="P185" s="17"/>
      <c r="Y185" s="25" t="e">
        <f>INT(INDEX('Dados Consolidados'!$R$2:$R$38, MATCH(A185, 'Dados Consolidados'!$A$2:$A$38, 0)))</f>
        <v>#N/A</v>
      </c>
      <c r="Z185" s="25" t="e">
        <f>INT(INDEX('Dados Consolidados'!$S$2:$S$38, MATCH(B185, 'Dados Consolidados'!$B$2:$B$38, 0)))</f>
        <v>#N/A</v>
      </c>
      <c r="AA185" s="25" t="e">
        <f>INT(INDEX('Dados Consolidados'!$T$2:$T$38, MATCH(E185, 'Dados Consolidados'!$E$2:$E$38, 0)))</f>
        <v>#N/A</v>
      </c>
      <c r="AB185" s="25" t="e">
        <f>INT(INDEX('Dados Consolidados'!$U$2:$U$38, MATCH(H185, 'Dados Consolidados'!$H$2:$H$38, 0)))</f>
        <v>#N/A</v>
      </c>
      <c r="AC185" s="25" t="e">
        <f>INT(INDEX('Dados Consolidados'!$V$2:$V$38, MATCH(J185, 'Dados Consolidados'!$J$2:$J$38, 0)))</f>
        <v>#N/A</v>
      </c>
      <c r="AD185" s="25" t="e">
        <f>INT(INDEX('Dados Consolidados'!$W$2:$W$38, MATCH(P185, 'Dados Consolidados'!$P$2:$P$38, 0)))</f>
        <v>#N/A</v>
      </c>
    </row>
    <row r="186" spans="1:30" ht="20.100000000000001" customHeight="1" x14ac:dyDescent="0.25">
      <c r="A186" s="24"/>
      <c r="B186" s="24"/>
      <c r="E186" s="17"/>
      <c r="F186" s="17"/>
      <c r="G186" s="17"/>
      <c r="H186" s="17"/>
      <c r="I186" s="42"/>
      <c r="J186" s="42"/>
      <c r="K186" s="17"/>
      <c r="L186" s="17"/>
      <c r="M186" s="18"/>
      <c r="N186" s="19"/>
      <c r="O186" s="19"/>
      <c r="P186" s="17"/>
      <c r="Y186" s="25" t="e">
        <f>INT(INDEX('Dados Consolidados'!$R$2:$R$38, MATCH(A186, 'Dados Consolidados'!$A$2:$A$38, 0)))</f>
        <v>#N/A</v>
      </c>
      <c r="Z186" s="25" t="e">
        <f>INT(INDEX('Dados Consolidados'!$S$2:$S$38, MATCH(B186, 'Dados Consolidados'!$B$2:$B$38, 0)))</f>
        <v>#N/A</v>
      </c>
      <c r="AA186" s="25" t="e">
        <f>INT(INDEX('Dados Consolidados'!$T$2:$T$38, MATCH(E186, 'Dados Consolidados'!$E$2:$E$38, 0)))</f>
        <v>#N/A</v>
      </c>
      <c r="AB186" s="25" t="e">
        <f>INT(INDEX('Dados Consolidados'!$U$2:$U$38, MATCH(H186, 'Dados Consolidados'!$H$2:$H$38, 0)))</f>
        <v>#N/A</v>
      </c>
      <c r="AC186" s="25" t="e">
        <f>INT(INDEX('Dados Consolidados'!$V$2:$V$38, MATCH(J186, 'Dados Consolidados'!$J$2:$J$38, 0)))</f>
        <v>#N/A</v>
      </c>
      <c r="AD186" s="25" t="e">
        <f>INT(INDEX('Dados Consolidados'!$W$2:$W$38, MATCH(P186, 'Dados Consolidados'!$P$2:$P$38, 0)))</f>
        <v>#N/A</v>
      </c>
    </row>
    <row r="187" spans="1:30" ht="20.100000000000001" customHeight="1" x14ac:dyDescent="0.25">
      <c r="A187" s="24"/>
      <c r="B187" s="24"/>
      <c r="E187" s="17"/>
      <c r="F187" s="17"/>
      <c r="G187" s="17"/>
      <c r="H187" s="17"/>
      <c r="I187" s="42"/>
      <c r="J187" s="42"/>
      <c r="K187" s="17"/>
      <c r="L187" s="17"/>
      <c r="M187" s="18"/>
      <c r="N187" s="19"/>
      <c r="O187" s="19"/>
      <c r="P187" s="17"/>
      <c r="Y187" s="25" t="e">
        <f>INT(INDEX('Dados Consolidados'!$R$2:$R$38, MATCH(A187, 'Dados Consolidados'!$A$2:$A$38, 0)))</f>
        <v>#N/A</v>
      </c>
      <c r="Z187" s="25" t="e">
        <f>INT(INDEX('Dados Consolidados'!$S$2:$S$38, MATCH(B187, 'Dados Consolidados'!$B$2:$B$38, 0)))</f>
        <v>#N/A</v>
      </c>
      <c r="AA187" s="25" t="e">
        <f>INT(INDEX('Dados Consolidados'!$T$2:$T$38, MATCH(E187, 'Dados Consolidados'!$E$2:$E$38, 0)))</f>
        <v>#N/A</v>
      </c>
      <c r="AB187" s="25" t="e">
        <f>INT(INDEX('Dados Consolidados'!$U$2:$U$38, MATCH(H187, 'Dados Consolidados'!$H$2:$H$38, 0)))</f>
        <v>#N/A</v>
      </c>
      <c r="AC187" s="25" t="e">
        <f>INT(INDEX('Dados Consolidados'!$V$2:$V$38, MATCH(J187, 'Dados Consolidados'!$J$2:$J$38, 0)))</f>
        <v>#N/A</v>
      </c>
      <c r="AD187" s="25" t="e">
        <f>INT(INDEX('Dados Consolidados'!$W$2:$W$38, MATCH(P187, 'Dados Consolidados'!$P$2:$P$38, 0)))</f>
        <v>#N/A</v>
      </c>
    </row>
    <row r="188" spans="1:30" ht="20.100000000000001" customHeight="1" x14ac:dyDescent="0.25">
      <c r="A188" s="24"/>
      <c r="B188" s="24"/>
      <c r="E188" s="17"/>
      <c r="F188" s="17"/>
      <c r="G188" s="17"/>
      <c r="H188" s="17"/>
      <c r="I188" s="42"/>
      <c r="J188" s="17"/>
      <c r="K188" s="17"/>
      <c r="L188" s="17"/>
      <c r="M188" s="18"/>
      <c r="N188" s="19"/>
      <c r="O188" s="19"/>
      <c r="P188" s="17"/>
      <c r="Y188" s="25" t="e">
        <f>INT(INDEX('Dados Consolidados'!$R$2:$R$38, MATCH(A188, 'Dados Consolidados'!$A$2:$A$38, 0)))</f>
        <v>#N/A</v>
      </c>
      <c r="Z188" s="25" t="e">
        <f>INT(INDEX('Dados Consolidados'!$S$2:$S$38, MATCH(B188, 'Dados Consolidados'!$B$2:$B$38, 0)))</f>
        <v>#N/A</v>
      </c>
      <c r="AA188" s="25" t="e">
        <f>INT(INDEX('Dados Consolidados'!$T$2:$T$38, MATCH(E188, 'Dados Consolidados'!$E$2:$E$38, 0)))</f>
        <v>#N/A</v>
      </c>
      <c r="AB188" s="25" t="e">
        <f>INT(INDEX('Dados Consolidados'!$U$2:$U$38, MATCH(H188, 'Dados Consolidados'!$H$2:$H$38, 0)))</f>
        <v>#N/A</v>
      </c>
      <c r="AC188" s="25" t="e">
        <f>INT(INDEX('Dados Consolidados'!$V$2:$V$38, MATCH(J188, 'Dados Consolidados'!$J$2:$J$38, 0)))</f>
        <v>#N/A</v>
      </c>
      <c r="AD188" s="25" t="e">
        <f>INT(INDEX('Dados Consolidados'!$W$2:$W$38, MATCH(P188, 'Dados Consolidados'!$P$2:$P$38, 0)))</f>
        <v>#N/A</v>
      </c>
    </row>
    <row r="189" spans="1:30" ht="20.100000000000001" customHeight="1" x14ac:dyDescent="0.25">
      <c r="A189" s="24"/>
      <c r="B189" s="24"/>
      <c r="E189" s="17"/>
      <c r="F189" s="17"/>
      <c r="G189" s="17"/>
      <c r="H189" s="17"/>
      <c r="I189" s="42"/>
      <c r="J189" s="17"/>
      <c r="K189" s="17"/>
      <c r="L189" s="17"/>
      <c r="M189" s="18"/>
      <c r="N189" s="19"/>
      <c r="O189" s="19"/>
      <c r="P189" s="17"/>
      <c r="Y189" s="25" t="e">
        <f>INT(INDEX('Dados Consolidados'!$R$2:$R$38, MATCH(A189, 'Dados Consolidados'!$A$2:$A$38, 0)))</f>
        <v>#N/A</v>
      </c>
      <c r="Z189" s="25" t="e">
        <f>INT(INDEX('Dados Consolidados'!$S$2:$S$38, MATCH(B189, 'Dados Consolidados'!$B$2:$B$38, 0)))</f>
        <v>#N/A</v>
      </c>
      <c r="AA189" s="25" t="e">
        <f>INT(INDEX('Dados Consolidados'!$T$2:$T$38, MATCH(E189, 'Dados Consolidados'!$E$2:$E$38, 0)))</f>
        <v>#N/A</v>
      </c>
      <c r="AB189" s="25" t="e">
        <f>INT(INDEX('Dados Consolidados'!$U$2:$U$38, MATCH(H189, 'Dados Consolidados'!$H$2:$H$38, 0)))</f>
        <v>#N/A</v>
      </c>
      <c r="AC189" s="25" t="e">
        <f>INT(INDEX('Dados Consolidados'!$V$2:$V$38, MATCH(J189, 'Dados Consolidados'!$J$2:$J$38, 0)))</f>
        <v>#N/A</v>
      </c>
      <c r="AD189" s="25" t="e">
        <f>INT(INDEX('Dados Consolidados'!$W$2:$W$38, MATCH(P189, 'Dados Consolidados'!$P$2:$P$38, 0)))</f>
        <v>#N/A</v>
      </c>
    </row>
    <row r="190" spans="1:30" ht="20.100000000000001" customHeight="1" x14ac:dyDescent="0.25">
      <c r="A190" s="24"/>
      <c r="B190" s="24"/>
      <c r="E190" s="17"/>
      <c r="F190" s="17"/>
      <c r="G190" s="17"/>
      <c r="H190" s="17"/>
      <c r="I190" s="42"/>
      <c r="J190" s="17"/>
      <c r="K190" s="17"/>
      <c r="L190" s="17"/>
      <c r="M190" s="18"/>
      <c r="N190" s="19"/>
      <c r="O190" s="19"/>
      <c r="P190" s="17"/>
      <c r="Y190" s="25" t="e">
        <f>INT(INDEX('Dados Consolidados'!$R$2:$R$38, MATCH(A190, 'Dados Consolidados'!$A$2:$A$38, 0)))</f>
        <v>#N/A</v>
      </c>
      <c r="Z190" s="25" t="e">
        <f>INT(INDEX('Dados Consolidados'!$S$2:$S$38, MATCH(B190, 'Dados Consolidados'!$B$2:$B$38, 0)))</f>
        <v>#N/A</v>
      </c>
      <c r="AA190" s="25" t="e">
        <f>INT(INDEX('Dados Consolidados'!$T$2:$T$38, MATCH(E190, 'Dados Consolidados'!$E$2:$E$38, 0)))</f>
        <v>#N/A</v>
      </c>
      <c r="AB190" s="25" t="e">
        <f>INT(INDEX('Dados Consolidados'!$U$2:$U$38, MATCH(H190, 'Dados Consolidados'!$H$2:$H$38, 0)))</f>
        <v>#N/A</v>
      </c>
      <c r="AC190" s="25" t="e">
        <f>INT(INDEX('Dados Consolidados'!$V$2:$V$38, MATCH(J190, 'Dados Consolidados'!$J$2:$J$38, 0)))</f>
        <v>#N/A</v>
      </c>
      <c r="AD190" s="25" t="e">
        <f>INT(INDEX('Dados Consolidados'!$W$2:$W$38, MATCH(P190, 'Dados Consolidados'!$P$2:$P$38, 0)))</f>
        <v>#N/A</v>
      </c>
    </row>
    <row r="191" spans="1:30" ht="20.100000000000001" customHeight="1" x14ac:dyDescent="0.25">
      <c r="A191" s="24"/>
      <c r="B191" s="24"/>
      <c r="E191" s="17"/>
      <c r="F191" s="17"/>
      <c r="G191" s="17"/>
      <c r="H191" s="17"/>
      <c r="I191" s="42"/>
      <c r="J191" s="17"/>
      <c r="K191" s="17"/>
      <c r="L191" s="17"/>
      <c r="M191" s="18"/>
      <c r="N191" s="19"/>
      <c r="O191" s="19"/>
      <c r="P191" s="17"/>
      <c r="Y191" s="25" t="e">
        <f>INT(INDEX('Dados Consolidados'!$R$2:$R$38, MATCH(A191, 'Dados Consolidados'!$A$2:$A$38, 0)))</f>
        <v>#N/A</v>
      </c>
      <c r="Z191" s="25" t="e">
        <f>INT(INDEX('Dados Consolidados'!$S$2:$S$38, MATCH(B191, 'Dados Consolidados'!$B$2:$B$38, 0)))</f>
        <v>#N/A</v>
      </c>
      <c r="AA191" s="25" t="e">
        <f>INT(INDEX('Dados Consolidados'!$T$2:$T$38, MATCH(E191, 'Dados Consolidados'!$E$2:$E$38, 0)))</f>
        <v>#N/A</v>
      </c>
      <c r="AB191" s="25" t="e">
        <f>INT(INDEX('Dados Consolidados'!$U$2:$U$38, MATCH(H191, 'Dados Consolidados'!$H$2:$H$38, 0)))</f>
        <v>#N/A</v>
      </c>
      <c r="AC191" s="25" t="e">
        <f>INT(INDEX('Dados Consolidados'!$V$2:$V$38, MATCH(J191, 'Dados Consolidados'!$J$2:$J$38, 0)))</f>
        <v>#N/A</v>
      </c>
      <c r="AD191" s="25" t="e">
        <f>INT(INDEX('Dados Consolidados'!$W$2:$W$38, MATCH(P191, 'Dados Consolidados'!$P$2:$P$38, 0)))</f>
        <v>#N/A</v>
      </c>
    </row>
    <row r="192" spans="1:30" ht="20.100000000000001" customHeight="1" x14ac:dyDescent="0.25">
      <c r="A192" s="24"/>
      <c r="B192" s="24"/>
      <c r="E192" s="17"/>
      <c r="F192" s="17"/>
      <c r="G192" s="17"/>
      <c r="H192" s="17"/>
      <c r="I192" s="42"/>
      <c r="J192" s="17"/>
      <c r="K192" s="17"/>
      <c r="L192" s="17"/>
      <c r="M192" s="18"/>
      <c r="N192" s="19"/>
      <c r="O192" s="19"/>
      <c r="P192" s="17"/>
      <c r="Y192" s="25" t="e">
        <f>INT(INDEX('Dados Consolidados'!$R$2:$R$38, MATCH(A192, 'Dados Consolidados'!$A$2:$A$38, 0)))</f>
        <v>#N/A</v>
      </c>
      <c r="Z192" s="25" t="e">
        <f>INT(INDEX('Dados Consolidados'!$S$2:$S$38, MATCH(B192, 'Dados Consolidados'!$B$2:$B$38, 0)))</f>
        <v>#N/A</v>
      </c>
      <c r="AA192" s="25" t="e">
        <f>INT(INDEX('Dados Consolidados'!$T$2:$T$38, MATCH(E192, 'Dados Consolidados'!$E$2:$E$38, 0)))</f>
        <v>#N/A</v>
      </c>
      <c r="AB192" s="25" t="e">
        <f>INT(INDEX('Dados Consolidados'!$U$2:$U$38, MATCH(H192, 'Dados Consolidados'!$H$2:$H$38, 0)))</f>
        <v>#N/A</v>
      </c>
      <c r="AC192" s="25" t="e">
        <f>INT(INDEX('Dados Consolidados'!$V$2:$V$38, MATCH(J192, 'Dados Consolidados'!$J$2:$J$38, 0)))</f>
        <v>#N/A</v>
      </c>
      <c r="AD192" s="25" t="e">
        <f>INT(INDEX('Dados Consolidados'!$W$2:$W$38, MATCH(P192, 'Dados Consolidados'!$P$2:$P$38, 0)))</f>
        <v>#N/A</v>
      </c>
    </row>
    <row r="193" spans="1:30" ht="20.100000000000001" customHeight="1" x14ac:dyDescent="0.25">
      <c r="A193" s="24"/>
      <c r="B193" s="24"/>
      <c r="E193" s="17"/>
      <c r="F193" s="17"/>
      <c r="G193" s="17"/>
      <c r="H193" s="17"/>
      <c r="I193" s="42"/>
      <c r="J193" s="17"/>
      <c r="K193" s="17"/>
      <c r="L193" s="17"/>
      <c r="M193" s="18"/>
      <c r="N193" s="19"/>
      <c r="O193" s="19"/>
      <c r="P193" s="17"/>
      <c r="Y193" s="25" t="e">
        <f>INT(INDEX('Dados Consolidados'!$R$2:$R$38, MATCH(A193, 'Dados Consolidados'!$A$2:$A$38, 0)))</f>
        <v>#N/A</v>
      </c>
      <c r="Z193" s="25" t="e">
        <f>INT(INDEX('Dados Consolidados'!$S$2:$S$38, MATCH(B193, 'Dados Consolidados'!$B$2:$B$38, 0)))</f>
        <v>#N/A</v>
      </c>
      <c r="AA193" s="25" t="e">
        <f>INT(INDEX('Dados Consolidados'!$T$2:$T$38, MATCH(E193, 'Dados Consolidados'!$E$2:$E$38, 0)))</f>
        <v>#N/A</v>
      </c>
      <c r="AB193" s="25" t="e">
        <f>INT(INDEX('Dados Consolidados'!$U$2:$U$38, MATCH(H193, 'Dados Consolidados'!$H$2:$H$38, 0)))</f>
        <v>#N/A</v>
      </c>
      <c r="AC193" s="25" t="e">
        <f>INT(INDEX('Dados Consolidados'!$V$2:$V$38, MATCH(J193, 'Dados Consolidados'!$J$2:$J$38, 0)))</f>
        <v>#N/A</v>
      </c>
      <c r="AD193" s="25" t="e">
        <f>INT(INDEX('Dados Consolidados'!$W$2:$W$38, MATCH(P193, 'Dados Consolidados'!$P$2:$P$38, 0)))</f>
        <v>#N/A</v>
      </c>
    </row>
    <row r="194" spans="1:30" ht="20.100000000000001" customHeight="1" x14ac:dyDescent="0.25">
      <c r="A194" s="24"/>
      <c r="B194" s="24"/>
      <c r="E194" s="17"/>
      <c r="F194" s="17"/>
      <c r="G194" s="17"/>
      <c r="H194" s="17"/>
      <c r="I194" s="42"/>
      <c r="J194" s="17"/>
      <c r="K194" s="17"/>
      <c r="L194" s="17"/>
      <c r="M194" s="18"/>
      <c r="N194" s="19"/>
      <c r="O194" s="19"/>
      <c r="P194" s="17"/>
      <c r="Y194" s="25" t="e">
        <f>INT(INDEX('Dados Consolidados'!$R$2:$R$38, MATCH(A194, 'Dados Consolidados'!$A$2:$A$38, 0)))</f>
        <v>#N/A</v>
      </c>
      <c r="Z194" s="25" t="e">
        <f>INT(INDEX('Dados Consolidados'!$S$2:$S$38, MATCH(B194, 'Dados Consolidados'!$B$2:$B$38, 0)))</f>
        <v>#N/A</v>
      </c>
      <c r="AA194" s="25" t="e">
        <f>INT(INDEX('Dados Consolidados'!$T$2:$T$38, MATCH(E194, 'Dados Consolidados'!$E$2:$E$38, 0)))</f>
        <v>#N/A</v>
      </c>
      <c r="AB194" s="25" t="e">
        <f>INT(INDEX('Dados Consolidados'!$U$2:$U$38, MATCH(H194, 'Dados Consolidados'!$H$2:$H$38, 0)))</f>
        <v>#N/A</v>
      </c>
      <c r="AC194" s="25" t="e">
        <f>INT(INDEX('Dados Consolidados'!$V$2:$V$38, MATCH(J194, 'Dados Consolidados'!$J$2:$J$38, 0)))</f>
        <v>#N/A</v>
      </c>
      <c r="AD194" s="25" t="e">
        <f>INT(INDEX('Dados Consolidados'!$W$2:$W$38, MATCH(P194, 'Dados Consolidados'!$P$2:$P$38, 0)))</f>
        <v>#N/A</v>
      </c>
    </row>
    <row r="195" spans="1:30" ht="20.100000000000001" customHeight="1" x14ac:dyDescent="0.25">
      <c r="A195" s="24"/>
      <c r="B195" s="24"/>
      <c r="E195" s="17"/>
      <c r="F195" s="17"/>
      <c r="G195" s="17"/>
      <c r="H195" s="17"/>
      <c r="I195" s="42"/>
      <c r="J195" s="17"/>
      <c r="K195" s="17"/>
      <c r="L195" s="17"/>
      <c r="M195" s="18"/>
      <c r="N195" s="19"/>
      <c r="O195" s="19"/>
      <c r="P195" s="17"/>
      <c r="Y195" s="25" t="e">
        <f>INT(INDEX('Dados Consolidados'!$R$2:$R$38, MATCH(A195, 'Dados Consolidados'!$A$2:$A$38, 0)))</f>
        <v>#N/A</v>
      </c>
      <c r="Z195" s="25" t="e">
        <f>INT(INDEX('Dados Consolidados'!$S$2:$S$38, MATCH(B195, 'Dados Consolidados'!$B$2:$B$38, 0)))</f>
        <v>#N/A</v>
      </c>
      <c r="AA195" s="25" t="e">
        <f>INT(INDEX('Dados Consolidados'!$T$2:$T$38, MATCH(E195, 'Dados Consolidados'!$E$2:$E$38, 0)))</f>
        <v>#N/A</v>
      </c>
      <c r="AB195" s="25" t="e">
        <f>INT(INDEX('Dados Consolidados'!$U$2:$U$38, MATCH(H195, 'Dados Consolidados'!$H$2:$H$38, 0)))</f>
        <v>#N/A</v>
      </c>
      <c r="AC195" s="25" t="e">
        <f>INT(INDEX('Dados Consolidados'!$V$2:$V$38, MATCH(J195, 'Dados Consolidados'!$J$2:$J$38, 0)))</f>
        <v>#N/A</v>
      </c>
      <c r="AD195" s="25" t="e">
        <f>INT(INDEX('Dados Consolidados'!$W$2:$W$38, MATCH(P195, 'Dados Consolidados'!$P$2:$P$38, 0)))</f>
        <v>#N/A</v>
      </c>
    </row>
    <row r="196" spans="1:30" ht="20.100000000000001" customHeight="1" x14ac:dyDescent="0.25">
      <c r="A196" s="24"/>
      <c r="B196" s="24"/>
      <c r="E196" s="17"/>
      <c r="F196" s="17"/>
      <c r="G196" s="17"/>
      <c r="H196" s="17"/>
      <c r="I196" s="42"/>
      <c r="J196" s="17"/>
      <c r="K196" s="17"/>
      <c r="L196" s="17"/>
      <c r="M196" s="18"/>
      <c r="N196" s="19"/>
      <c r="O196" s="19"/>
      <c r="P196" s="17"/>
      <c r="Y196" s="25" t="e">
        <f>INT(INDEX('Dados Consolidados'!$R$2:$R$38, MATCH(A196, 'Dados Consolidados'!$A$2:$A$38, 0)))</f>
        <v>#N/A</v>
      </c>
      <c r="Z196" s="25" t="e">
        <f>INT(INDEX('Dados Consolidados'!$S$2:$S$38, MATCH(B196, 'Dados Consolidados'!$B$2:$B$38, 0)))</f>
        <v>#N/A</v>
      </c>
      <c r="AA196" s="25" t="e">
        <f>INT(INDEX('Dados Consolidados'!$T$2:$T$38, MATCH(E196, 'Dados Consolidados'!$E$2:$E$38, 0)))</f>
        <v>#N/A</v>
      </c>
      <c r="AB196" s="25" t="e">
        <f>INT(INDEX('Dados Consolidados'!$U$2:$U$38, MATCH(H196, 'Dados Consolidados'!$H$2:$H$38, 0)))</f>
        <v>#N/A</v>
      </c>
      <c r="AC196" s="25" t="e">
        <f>INT(INDEX('Dados Consolidados'!$V$2:$V$38, MATCH(J196, 'Dados Consolidados'!$J$2:$J$38, 0)))</f>
        <v>#N/A</v>
      </c>
      <c r="AD196" s="25" t="e">
        <f>INT(INDEX('Dados Consolidados'!$W$2:$W$38, MATCH(P196, 'Dados Consolidados'!$P$2:$P$38, 0)))</f>
        <v>#N/A</v>
      </c>
    </row>
    <row r="197" spans="1:30" ht="20.100000000000001" customHeight="1" x14ac:dyDescent="0.25">
      <c r="A197" s="24"/>
      <c r="B197" s="24"/>
      <c r="E197" s="17"/>
      <c r="F197" s="17"/>
      <c r="G197" s="17"/>
      <c r="H197" s="17"/>
      <c r="I197" s="42"/>
      <c r="J197" s="17"/>
      <c r="K197" s="17"/>
      <c r="L197" s="17"/>
      <c r="M197" s="18"/>
      <c r="N197" s="19"/>
      <c r="O197" s="19"/>
      <c r="P197" s="17"/>
      <c r="Y197" s="25" t="e">
        <f>INT(INDEX('Dados Consolidados'!$R$2:$R$38, MATCH(A197, 'Dados Consolidados'!$A$2:$A$38, 0)))</f>
        <v>#N/A</v>
      </c>
      <c r="Z197" s="25" t="e">
        <f>INT(INDEX('Dados Consolidados'!$S$2:$S$38, MATCH(B197, 'Dados Consolidados'!$B$2:$B$38, 0)))</f>
        <v>#N/A</v>
      </c>
      <c r="AA197" s="25" t="e">
        <f>INT(INDEX('Dados Consolidados'!$T$2:$T$38, MATCH(E197, 'Dados Consolidados'!$E$2:$E$38, 0)))</f>
        <v>#N/A</v>
      </c>
      <c r="AB197" s="25" t="e">
        <f>INT(INDEX('Dados Consolidados'!$U$2:$U$38, MATCH(H197, 'Dados Consolidados'!$H$2:$H$38, 0)))</f>
        <v>#N/A</v>
      </c>
      <c r="AC197" s="25" t="e">
        <f>INT(INDEX('Dados Consolidados'!$V$2:$V$38, MATCH(J197, 'Dados Consolidados'!$J$2:$J$38, 0)))</f>
        <v>#N/A</v>
      </c>
      <c r="AD197" s="25" t="e">
        <f>INT(INDEX('Dados Consolidados'!$W$2:$W$38, MATCH(P197, 'Dados Consolidados'!$P$2:$P$38, 0)))</f>
        <v>#N/A</v>
      </c>
    </row>
    <row r="198" spans="1:30" ht="20.100000000000001" customHeight="1" x14ac:dyDescent="0.25">
      <c r="A198" s="24"/>
      <c r="B198" s="24"/>
      <c r="E198" s="17"/>
      <c r="F198" s="17"/>
      <c r="G198" s="17"/>
      <c r="H198" s="17"/>
      <c r="I198" s="42"/>
      <c r="J198" s="17"/>
      <c r="K198" s="17"/>
      <c r="L198" s="17"/>
      <c r="M198" s="18"/>
      <c r="N198" s="19"/>
      <c r="O198" s="19"/>
      <c r="P198" s="17"/>
      <c r="Y198" s="25" t="e">
        <f>INT(INDEX('Dados Consolidados'!$R$2:$R$38, MATCH(A198, 'Dados Consolidados'!$A$2:$A$38, 0)))</f>
        <v>#N/A</v>
      </c>
      <c r="Z198" s="25" t="e">
        <f>INT(INDEX('Dados Consolidados'!$S$2:$S$38, MATCH(B198, 'Dados Consolidados'!$B$2:$B$38, 0)))</f>
        <v>#N/A</v>
      </c>
      <c r="AA198" s="25" t="e">
        <f>INT(INDEX('Dados Consolidados'!$T$2:$T$38, MATCH(E198, 'Dados Consolidados'!$E$2:$E$38, 0)))</f>
        <v>#N/A</v>
      </c>
      <c r="AB198" s="25" t="e">
        <f>INT(INDEX('Dados Consolidados'!$U$2:$U$38, MATCH(H198, 'Dados Consolidados'!$H$2:$H$38, 0)))</f>
        <v>#N/A</v>
      </c>
      <c r="AC198" s="25" t="e">
        <f>INT(INDEX('Dados Consolidados'!$V$2:$V$38, MATCH(J198, 'Dados Consolidados'!$J$2:$J$38, 0)))</f>
        <v>#N/A</v>
      </c>
      <c r="AD198" s="25" t="e">
        <f>INT(INDEX('Dados Consolidados'!$W$2:$W$38, MATCH(P198, 'Dados Consolidados'!$P$2:$P$38, 0)))</f>
        <v>#N/A</v>
      </c>
    </row>
    <row r="199" spans="1:30" ht="20.100000000000001" customHeight="1" x14ac:dyDescent="0.25">
      <c r="A199" s="24"/>
      <c r="B199" s="24"/>
      <c r="E199" s="17"/>
      <c r="F199" s="17"/>
      <c r="G199" s="17"/>
      <c r="H199" s="17"/>
      <c r="I199" s="42"/>
      <c r="J199" s="17"/>
      <c r="K199" s="17"/>
      <c r="L199" s="17"/>
      <c r="M199" s="18"/>
      <c r="N199" s="19"/>
      <c r="O199" s="19"/>
      <c r="P199" s="17"/>
      <c r="Y199" s="25" t="e">
        <f>INT(INDEX('Dados Consolidados'!$R$2:$R$38, MATCH(A199, 'Dados Consolidados'!$A$2:$A$38, 0)))</f>
        <v>#N/A</v>
      </c>
      <c r="Z199" s="25" t="e">
        <f>INT(INDEX('Dados Consolidados'!$S$2:$S$38, MATCH(B199, 'Dados Consolidados'!$B$2:$B$38, 0)))</f>
        <v>#N/A</v>
      </c>
      <c r="AA199" s="25" t="e">
        <f>INT(INDEX('Dados Consolidados'!$T$2:$T$38, MATCH(E199, 'Dados Consolidados'!$E$2:$E$38, 0)))</f>
        <v>#N/A</v>
      </c>
      <c r="AB199" s="25" t="e">
        <f>INT(INDEX('Dados Consolidados'!$U$2:$U$38, MATCH(H199, 'Dados Consolidados'!$H$2:$H$38, 0)))</f>
        <v>#N/A</v>
      </c>
      <c r="AC199" s="25" t="e">
        <f>INT(INDEX('Dados Consolidados'!$V$2:$V$38, MATCH(J199, 'Dados Consolidados'!$J$2:$J$38, 0)))</f>
        <v>#N/A</v>
      </c>
      <c r="AD199" s="25" t="e">
        <f>INT(INDEX('Dados Consolidados'!$W$2:$W$38, MATCH(P199, 'Dados Consolidados'!$P$2:$P$38, 0)))</f>
        <v>#N/A</v>
      </c>
    </row>
    <row r="200" spans="1:30" ht="20.100000000000001" customHeight="1" x14ac:dyDescent="0.25">
      <c r="A200" s="24"/>
      <c r="B200" s="24"/>
      <c r="E200" s="17"/>
      <c r="F200" s="17"/>
      <c r="G200" s="17"/>
      <c r="H200" s="17"/>
      <c r="I200" s="42"/>
      <c r="J200" s="17"/>
      <c r="K200" s="17"/>
      <c r="L200" s="17"/>
      <c r="M200" s="18"/>
      <c r="N200" s="19"/>
      <c r="O200" s="19"/>
      <c r="P200" s="17"/>
      <c r="Y200" s="25" t="e">
        <f>INT(INDEX('Dados Consolidados'!$R$2:$R$38, MATCH(A200, 'Dados Consolidados'!$A$2:$A$38, 0)))</f>
        <v>#N/A</v>
      </c>
      <c r="Z200" s="25" t="e">
        <f>INT(INDEX('Dados Consolidados'!$S$2:$S$38, MATCH(B200, 'Dados Consolidados'!$B$2:$B$38, 0)))</f>
        <v>#N/A</v>
      </c>
      <c r="AA200" s="25" t="e">
        <f>INT(INDEX('Dados Consolidados'!$T$2:$T$38, MATCH(E200, 'Dados Consolidados'!$E$2:$E$38, 0)))</f>
        <v>#N/A</v>
      </c>
      <c r="AB200" s="25" t="e">
        <f>INT(INDEX('Dados Consolidados'!$U$2:$U$38, MATCH(H200, 'Dados Consolidados'!$H$2:$H$38, 0)))</f>
        <v>#N/A</v>
      </c>
      <c r="AC200" s="25" t="e">
        <f>INT(INDEX('Dados Consolidados'!$V$2:$V$38, MATCH(J200, 'Dados Consolidados'!$J$2:$J$38, 0)))</f>
        <v>#N/A</v>
      </c>
      <c r="AD200" s="25" t="e">
        <f>INT(INDEX('Dados Consolidados'!$W$2:$W$38, MATCH(P200, 'Dados Consolidados'!$P$2:$P$38, 0)))</f>
        <v>#N/A</v>
      </c>
    </row>
    <row r="201" spans="1:30" ht="15" customHeight="1" x14ac:dyDescent="0.25"/>
    <row r="202" spans="1:30" ht="15" customHeight="1" x14ac:dyDescent="0.25"/>
    <row r="203" spans="1:30" ht="15" customHeight="1" x14ac:dyDescent="0.25"/>
    <row r="204" spans="1:30" ht="15" customHeight="1" x14ac:dyDescent="0.25"/>
    <row r="205" spans="1:30" ht="15" customHeight="1" x14ac:dyDescent="0.25"/>
    <row r="206" spans="1:30" ht="15" customHeight="1" x14ac:dyDescent="0.25"/>
    <row r="207" spans="1:30" ht="15" customHeight="1" x14ac:dyDescent="0.25"/>
    <row r="208" spans="1:30" ht="15" customHeight="1" x14ac:dyDescent="0.25"/>
    <row r="209" ht="15" customHeight="1" x14ac:dyDescent="0.25"/>
    <row r="210" ht="15" customHeight="1" x14ac:dyDescent="0.25"/>
    <row r="211" ht="15" customHeight="1" x14ac:dyDescent="0.25"/>
    <row r="212" ht="15" customHeight="1" x14ac:dyDescent="0.25"/>
    <row r="213" ht="15" customHeight="1" x14ac:dyDescent="0.25"/>
    <row r="214" ht="15" customHeight="1" x14ac:dyDescent="0.25"/>
    <row r="215" ht="15" customHeight="1" x14ac:dyDescent="0.25"/>
    <row r="216" ht="15" customHeight="1" x14ac:dyDescent="0.25"/>
    <row r="217" ht="15" customHeight="1" x14ac:dyDescent="0.25"/>
    <row r="218" ht="15" customHeight="1" x14ac:dyDescent="0.25"/>
    <row r="219" ht="15" customHeight="1" x14ac:dyDescent="0.25"/>
    <row r="220" ht="15" customHeight="1" x14ac:dyDescent="0.25"/>
    <row r="221" ht="15" customHeight="1" x14ac:dyDescent="0.25"/>
    <row r="222" ht="15" customHeight="1" x14ac:dyDescent="0.25"/>
    <row r="223" ht="15" customHeight="1" x14ac:dyDescent="0.25"/>
    <row r="224" ht="15" customHeight="1" x14ac:dyDescent="0.25"/>
    <row r="225" ht="15" customHeight="1" x14ac:dyDescent="0.25"/>
    <row r="226" ht="15" customHeight="1" x14ac:dyDescent="0.25"/>
    <row r="227" ht="15" customHeight="1" x14ac:dyDescent="0.25"/>
    <row r="228" ht="15" customHeight="1" x14ac:dyDescent="0.25"/>
    <row r="229" ht="15" customHeight="1" x14ac:dyDescent="0.25"/>
    <row r="230" ht="15" customHeight="1" x14ac:dyDescent="0.25"/>
    <row r="231" ht="15" customHeight="1" x14ac:dyDescent="0.25"/>
    <row r="232" ht="15" customHeight="1" x14ac:dyDescent="0.25"/>
    <row r="233" ht="15" customHeight="1" x14ac:dyDescent="0.25"/>
    <row r="234" ht="15" customHeight="1" x14ac:dyDescent="0.25"/>
    <row r="235" ht="15" customHeight="1" x14ac:dyDescent="0.25"/>
    <row r="236" ht="15" customHeight="1" x14ac:dyDescent="0.25"/>
    <row r="237" ht="15" customHeight="1" x14ac:dyDescent="0.25"/>
    <row r="238" ht="15" customHeight="1" x14ac:dyDescent="0.25"/>
    <row r="239" ht="15" customHeight="1" x14ac:dyDescent="0.25"/>
    <row r="240" ht="15" customHeight="1" x14ac:dyDescent="0.25"/>
    <row r="241" ht="15" customHeight="1" x14ac:dyDescent="0.25"/>
    <row r="242" ht="15" customHeight="1" x14ac:dyDescent="0.25"/>
    <row r="243" ht="15" customHeight="1" x14ac:dyDescent="0.25"/>
    <row r="244" ht="15" customHeight="1" x14ac:dyDescent="0.25"/>
    <row r="245" ht="15" customHeight="1" x14ac:dyDescent="0.25"/>
    <row r="246" ht="15" customHeight="1" x14ac:dyDescent="0.25"/>
    <row r="247" ht="15" customHeight="1" x14ac:dyDescent="0.25"/>
    <row r="248" ht="15" customHeight="1" x14ac:dyDescent="0.25"/>
    <row r="249" ht="15" customHeight="1" x14ac:dyDescent="0.25"/>
    <row r="250" ht="15" customHeight="1" x14ac:dyDescent="0.25"/>
    <row r="251" ht="15" customHeight="1" x14ac:dyDescent="0.25"/>
    <row r="252" ht="15" customHeight="1" x14ac:dyDescent="0.25"/>
    <row r="253" ht="15" customHeight="1" x14ac:dyDescent="0.25"/>
    <row r="254" ht="15" customHeight="1" x14ac:dyDescent="0.25"/>
    <row r="255" ht="15" customHeight="1" x14ac:dyDescent="0.25"/>
    <row r="256" ht="15" customHeight="1" x14ac:dyDescent="0.25"/>
    <row r="257" ht="15" customHeight="1" x14ac:dyDescent="0.25"/>
    <row r="258" ht="15" customHeight="1" x14ac:dyDescent="0.25"/>
    <row r="259" ht="15" customHeight="1" x14ac:dyDescent="0.25"/>
    <row r="260" ht="15" customHeight="1" x14ac:dyDescent="0.25"/>
    <row r="261" ht="15" customHeight="1" x14ac:dyDescent="0.25"/>
    <row r="262" ht="15" customHeight="1" x14ac:dyDescent="0.25"/>
    <row r="263" ht="15" customHeight="1" x14ac:dyDescent="0.25"/>
    <row r="264" ht="15" customHeight="1" x14ac:dyDescent="0.25"/>
    <row r="265" ht="15" customHeight="1" x14ac:dyDescent="0.25"/>
    <row r="266" ht="15" customHeight="1" x14ac:dyDescent="0.25"/>
    <row r="267" ht="15" customHeight="1" x14ac:dyDescent="0.25"/>
    <row r="268" ht="15" customHeight="1" x14ac:dyDescent="0.25"/>
    <row r="269" ht="15" customHeight="1" x14ac:dyDescent="0.25"/>
    <row r="270" ht="15" customHeight="1" x14ac:dyDescent="0.25"/>
    <row r="271" ht="15" customHeight="1" x14ac:dyDescent="0.25"/>
    <row r="272" ht="15" customHeight="1" x14ac:dyDescent="0.25"/>
    <row r="273" ht="15" customHeight="1" x14ac:dyDescent="0.25"/>
    <row r="274" ht="15" customHeight="1" x14ac:dyDescent="0.25"/>
    <row r="275" ht="15" customHeight="1" x14ac:dyDescent="0.25"/>
    <row r="276" ht="15" customHeight="1" x14ac:dyDescent="0.25"/>
    <row r="277" ht="15" customHeight="1" x14ac:dyDescent="0.25"/>
    <row r="278" ht="15" customHeight="1" x14ac:dyDescent="0.25"/>
    <row r="279" ht="15" customHeight="1" x14ac:dyDescent="0.25"/>
    <row r="280" ht="15" customHeight="1" x14ac:dyDescent="0.25"/>
    <row r="281" ht="15" customHeight="1" x14ac:dyDescent="0.25"/>
    <row r="282" ht="15" customHeight="1" x14ac:dyDescent="0.25"/>
    <row r="283" ht="15" customHeight="1" x14ac:dyDescent="0.25"/>
    <row r="284" ht="15" customHeight="1" x14ac:dyDescent="0.25"/>
    <row r="285" ht="15" customHeight="1" x14ac:dyDescent="0.25"/>
    <row r="286" ht="15" customHeight="1" x14ac:dyDescent="0.25"/>
    <row r="287" ht="15" customHeight="1" x14ac:dyDescent="0.25"/>
    <row r="288" ht="15" customHeight="1" x14ac:dyDescent="0.25"/>
    <row r="289" ht="15" customHeight="1" x14ac:dyDescent="0.25"/>
    <row r="290" ht="15" customHeight="1" x14ac:dyDescent="0.25"/>
    <row r="291" ht="15" customHeight="1" x14ac:dyDescent="0.25"/>
    <row r="292" ht="15" customHeight="1" x14ac:dyDescent="0.25"/>
    <row r="293" ht="15" customHeight="1" x14ac:dyDescent="0.25"/>
    <row r="294" ht="15" customHeight="1" x14ac:dyDescent="0.25"/>
    <row r="295" ht="15" customHeight="1" x14ac:dyDescent="0.25"/>
    <row r="296" ht="15" customHeight="1" x14ac:dyDescent="0.25"/>
    <row r="297" ht="15" customHeight="1" x14ac:dyDescent="0.25"/>
    <row r="298" ht="15" customHeight="1" x14ac:dyDescent="0.25"/>
    <row r="299" ht="15" customHeight="1" x14ac:dyDescent="0.25"/>
    <row r="300" ht="15" customHeight="1" x14ac:dyDescent="0.25"/>
    <row r="301" ht="15" customHeight="1" x14ac:dyDescent="0.25"/>
    <row r="302" ht="15" customHeight="1" x14ac:dyDescent="0.25"/>
    <row r="303" ht="15" customHeight="1" x14ac:dyDescent="0.25"/>
    <row r="304" ht="15" customHeight="1" x14ac:dyDescent="0.25"/>
    <row r="305" ht="15" customHeight="1" x14ac:dyDescent="0.25"/>
    <row r="306" ht="15" customHeight="1" x14ac:dyDescent="0.25"/>
    <row r="307" ht="15" customHeight="1" x14ac:dyDescent="0.25"/>
    <row r="308" ht="15" customHeight="1" x14ac:dyDescent="0.25"/>
    <row r="309" ht="15" customHeight="1" x14ac:dyDescent="0.25"/>
    <row r="310" ht="15" customHeight="1" x14ac:dyDescent="0.25"/>
    <row r="311" ht="15" customHeight="1" x14ac:dyDescent="0.25"/>
    <row r="312" ht="15" customHeight="1" x14ac:dyDescent="0.25"/>
    <row r="313" ht="15" customHeight="1" x14ac:dyDescent="0.25"/>
    <row r="314" ht="15" customHeight="1" x14ac:dyDescent="0.25"/>
    <row r="315" ht="15" customHeight="1" x14ac:dyDescent="0.25"/>
    <row r="316" ht="15" customHeight="1" x14ac:dyDescent="0.25"/>
    <row r="317" ht="15" customHeight="1" x14ac:dyDescent="0.25"/>
    <row r="318" ht="15" customHeight="1" x14ac:dyDescent="0.25"/>
    <row r="319" ht="15" customHeight="1" x14ac:dyDescent="0.25"/>
    <row r="320" ht="15" customHeight="1" x14ac:dyDescent="0.25"/>
    <row r="321" ht="15" customHeight="1" x14ac:dyDescent="0.25"/>
    <row r="322" ht="15" customHeight="1" x14ac:dyDescent="0.25"/>
    <row r="323" ht="15" customHeight="1" x14ac:dyDescent="0.25"/>
    <row r="324" ht="15" customHeight="1" x14ac:dyDescent="0.25"/>
    <row r="325" ht="15" customHeight="1" x14ac:dyDescent="0.25"/>
    <row r="326" ht="15" customHeight="1" x14ac:dyDescent="0.25"/>
    <row r="327" ht="15" customHeight="1" x14ac:dyDescent="0.25"/>
  </sheetData>
  <sheetProtection insertColumns="0"/>
  <mergeCells count="4">
    <mergeCell ref="A1:D1"/>
    <mergeCell ref="Q1:X2"/>
    <mergeCell ref="A2:D2"/>
    <mergeCell ref="Y1:AD2"/>
  </mergeCells>
  <phoneticPr fontId="18" type="noConversion"/>
  <conditionalFormatting sqref="E6:E200">
    <cfRule type="cellIs" dxfId="7" priority="9" operator="equal">
      <formula>"Insira ou selecione um valor"</formula>
    </cfRule>
    <cfRule type="expression" dxfId="6" priority="10">
      <formula>AND(OR(TRIM($A6) &lt;&gt; "",TRIM($B6) &lt;&gt; ""),OR(TRIM($E6) = "",$E6 = "Insira ou selecione um valor"))</formula>
    </cfRule>
  </conditionalFormatting>
  <conditionalFormatting sqref="H6:H200">
    <cfRule type="cellIs" dxfId="5" priority="3" operator="equal">
      <formula>"Insira ou selecione um valor"</formula>
    </cfRule>
    <cfRule type="expression" dxfId="4" priority="4">
      <formula>AND(OR(TRIM($A6) &lt;&gt; "",TRIM($B6) &lt;&gt; ""),OR(TRIM($E6) = "",$E6 = "Insira ou selecione um valor"))</formula>
    </cfRule>
  </conditionalFormatting>
  <conditionalFormatting sqref="J6:J200">
    <cfRule type="cellIs" dxfId="3" priority="1" operator="equal">
      <formula>"Insira ou selecione um valor"</formula>
    </cfRule>
    <cfRule type="expression" dxfId="2" priority="2">
      <formula>AND(OR(TRIM($A6) &lt;&gt; "",TRIM($B6) &lt;&gt; ""),OR(TRIM($E6) = "",$E6 = "Insira ou selecione um valor"))</formula>
    </cfRule>
  </conditionalFormatting>
  <conditionalFormatting sqref="P6:P200">
    <cfRule type="cellIs" dxfId="1" priority="5" operator="equal">
      <formula>"Insira ou selecione um valor"</formula>
    </cfRule>
    <cfRule type="expression" dxfId="0" priority="6">
      <formula>AND(OR(TRIM($A6) &lt;&gt; "",TRIM($B6) &lt;&gt; ""),OR(TRIM($E6) = "",$E6 = "Insira ou selecione um valor"))</formula>
    </cfRule>
  </conditionalFormatting>
  <dataValidations count="6">
    <dataValidation type="decimal" allowBlank="1" showInputMessage="1" showErrorMessage="1" sqref="N6:O200" xr:uid="{00000000-0002-0000-0100-000000000000}">
      <formula1>0</formula1>
      <formula2>100</formula2>
    </dataValidation>
    <dataValidation type="decimal" allowBlank="1" showInputMessage="1" showErrorMessage="1" sqref="M6:M200" xr:uid="{00000000-0002-0000-0100-000001000000}">
      <formula1>0</formula1>
      <formula2>999999</formula2>
    </dataValidation>
    <dataValidation type="textLength" allowBlank="1" showInputMessage="1" showErrorMessage="1" sqref="F6:F200" xr:uid="{00000000-0002-0000-0100-000002000000}">
      <formula1>1</formula1>
      <formula2>50</formula2>
    </dataValidation>
    <dataValidation type="textLength" allowBlank="1" showInputMessage="1" showErrorMessage="1" sqref="G6:G200" xr:uid="{00000000-0002-0000-0100-000003000000}">
      <formula1>1</formula1>
      <formula2>40</formula2>
    </dataValidation>
    <dataValidation type="whole" allowBlank="1" showInputMessage="1" showErrorMessage="1" sqref="K52 K19:K20 K26:K27 K33:K34 K40:K41 K47:K48 K54:K55 K22 K29 K36 K43 K50 K24 K31 K38 K45 K6:K17" xr:uid="{00000000-0002-0000-0100-000004000000}">
      <formula1>0</formula1>
      <formula2>9999999</formula2>
    </dataValidation>
    <dataValidation type="textLength" allowBlank="1" showInputMessage="1" showErrorMessage="1" errorTitle="Erro" error="O texto inserido excede o tamanho máximo permitido para esta célula." sqref="C6:D200" xr:uid="{00000000-0002-0000-0100-000005000000}">
      <formula1>1</formula1>
      <formula2>50</formula2>
    </dataValidation>
  </dataValidations>
  <pageMargins left="0.511811024" right="0.511811024" top="0.78740157499999996" bottom="0.78740157499999996" header="0.31496062000000002" footer="0.31496062000000002"/>
  <pageSetup paperSize="9" orientation="portrait"/>
  <legacyDrawing r:id="rId1"/>
  <extLst>
    <ext xmlns:x14="http://schemas.microsoft.com/office/spreadsheetml/2009/9/main" uri="{CCE6A557-97BC-4b89-ADB6-D9C93CAAB3DF}">
      <x14:dataValidations xmlns:xm="http://schemas.microsoft.com/office/excel/2006/main" count="12">
        <x14:dataValidation type="list" showErrorMessage="1" errorTitle="Valor Inválido" error="Por favor, selecione um valor da lista." xr:uid="{00000000-0002-0000-0100-000006000000}">
          <x14:formula1>
            <xm:f>'Dados Consolidados'!$A$2:$A$38</xm:f>
          </x14:formula1>
          <xm:sqref>A6:A327</xm:sqref>
        </x14:dataValidation>
        <x14:dataValidation type="list" showErrorMessage="1" errorTitle="Valor Inválido" error="Por favor, selecione um valor da lista." xr:uid="{00000000-0002-0000-0100-000007000000}">
          <x14:formula1>
            <xm:f>'Dados Consolidados'!$B$2:$B$197</xm:f>
          </x14:formula1>
          <xm:sqref>B6:B327</xm:sqref>
        </x14:dataValidation>
        <x14:dataValidation type="list" showErrorMessage="1" errorTitle="Valor Inválido" error="Por favor, selecione um valor da lista." xr:uid="{00000000-0002-0000-0100-000008000000}">
          <x14:formula1>
            <xm:f>'Dados Consolidados'!$E$2:$E$313</xm:f>
          </x14:formula1>
          <xm:sqref>E6:E327</xm:sqref>
        </x14:dataValidation>
        <x14:dataValidation type="list" showErrorMessage="1" errorTitle="Valor Inválido" error="Por favor, selecione um valor da lista." xr:uid="{00000000-0002-0000-0100-000009000000}">
          <x14:formula1>
            <xm:f>'Dados Consolidados'!$H$2:$H$32</xm:f>
          </x14:formula1>
          <xm:sqref>H6:H327</xm:sqref>
        </x14:dataValidation>
        <x14:dataValidation type="list" showErrorMessage="1" errorTitle="Valor Inválido" error="Por favor, selecione um valor da lista." xr:uid="{00000000-0002-0000-0100-00000A000000}">
          <x14:formula1>
            <xm:f>'Dados Consolidados'!$J$2:$J$10</xm:f>
          </x14:formula1>
          <xm:sqref>J6:J327</xm:sqref>
        </x14:dataValidation>
        <x14:dataValidation type="list" showErrorMessage="1" errorTitle="Valor Inválido" error="Por favor, selecione um valor da lista." xr:uid="{00000000-0002-0000-0100-00000B000000}">
          <x14:formula1>
            <xm:f>'Dados Consolidados'!$P$2:$P$12</xm:f>
          </x14:formula1>
          <xm:sqref>P6:P327</xm:sqref>
        </x14:dataValidation>
        <x14:dataValidation type="list" showErrorMessage="1" errorTitle="Valor Inválido" error="Por favor, selecione um valor da lista." xr:uid="{00000000-0002-0000-0100-00000C000000}">
          <x14:formula1>
            <xm:f>'Dados Consolidados'!$R$2:$R$38</xm:f>
          </x14:formula1>
          <xm:sqref>R6:R327</xm:sqref>
        </x14:dataValidation>
        <x14:dataValidation type="list" showErrorMessage="1" errorTitle="Valor Inválido" error="Por favor, selecione um valor da lista." xr:uid="{00000000-0002-0000-0100-00000D000000}">
          <x14:formula1>
            <xm:f>'Dados Consolidados'!$S$2:$S$11</xm:f>
          </x14:formula1>
          <xm:sqref>S6:S327</xm:sqref>
        </x14:dataValidation>
        <x14:dataValidation type="list" showErrorMessage="1" errorTitle="Valor Inválido" error="Por favor, selecione um valor da lista." xr:uid="{00000000-0002-0000-0100-00000E000000}">
          <x14:formula1>
            <xm:f>'Dados Consolidados'!$T$2:$T$313</xm:f>
          </x14:formula1>
          <xm:sqref>T6:T327</xm:sqref>
        </x14:dataValidation>
        <x14:dataValidation type="list" showErrorMessage="1" errorTitle="Valor Inválido" error="Por favor, selecione um valor da lista." xr:uid="{00000000-0002-0000-0100-00000F000000}">
          <x14:formula1>
            <xm:f>'Dados Consolidados'!$U$2:$U$52</xm:f>
          </x14:formula1>
          <xm:sqref>U6:U327</xm:sqref>
        </x14:dataValidation>
        <x14:dataValidation type="list" showErrorMessage="1" errorTitle="Valor Inválido" error="Por favor, selecione um valor da lista." xr:uid="{00000000-0002-0000-0100-000010000000}">
          <x14:formula1>
            <xm:f>'Dados Consolidados'!$V$2:$V$10</xm:f>
          </x14:formula1>
          <xm:sqref>V6:V327</xm:sqref>
        </x14:dataValidation>
        <x14:dataValidation type="list" showErrorMessage="1" errorTitle="Valor Inválido" error="Por favor, selecione um valor da lista." xr:uid="{00000000-0002-0000-0100-000011000000}">
          <x14:formula1>
            <xm:f>'Dados Consolidados'!$W$2:$W$12</xm:f>
          </x14:formula1>
          <xm:sqref>W6:W327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"/>
  <sheetViews>
    <sheetView workbookViewId="0"/>
  </sheetViews>
  <sheetFormatPr defaultRowHeight="15" x14ac:dyDescent="0.25"/>
  <sheetData>
    <row r="1" spans="1:1" x14ac:dyDescent="0.25">
      <c r="A1" s="10" t="s">
        <v>10</v>
      </c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Planilha4"/>
  <dimension ref="A1:P5"/>
  <sheetViews>
    <sheetView workbookViewId="0">
      <pane ySplit="5" topLeftCell="A6" activePane="bottomLeft" state="frozen"/>
      <selection pane="bottomLeft" activeCell="B5" sqref="B5"/>
    </sheetView>
  </sheetViews>
  <sheetFormatPr defaultRowHeight="15" x14ac:dyDescent="0.25"/>
  <cols>
    <col min="1" max="1" width="34" customWidth="1"/>
    <col min="2" max="2" width="154.28515625" style="9" customWidth="1"/>
  </cols>
  <sheetData>
    <row r="1" spans="1:16" x14ac:dyDescent="0.25">
      <c r="A1" s="32" t="s">
        <v>37</v>
      </c>
      <c r="B1" s="33"/>
      <c r="C1" s="33"/>
      <c r="D1" s="33"/>
      <c r="E1" s="9"/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16" ht="30" customHeight="1" x14ac:dyDescent="0.25">
      <c r="A2" s="34" t="s">
        <v>7</v>
      </c>
      <c r="B2" s="33"/>
      <c r="C2" s="33"/>
      <c r="D2" s="33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</row>
    <row r="3" spans="1:16" ht="30" customHeight="1" x14ac:dyDescent="0.25">
      <c r="A3" s="21" t="s">
        <v>38</v>
      </c>
    </row>
    <row r="4" spans="1:16" x14ac:dyDescent="0.25">
      <c r="A4" s="22" t="s">
        <v>26</v>
      </c>
    </row>
    <row r="5" spans="1:16" ht="84.95" customHeight="1" x14ac:dyDescent="0.25">
      <c r="A5" s="12" t="s">
        <v>39</v>
      </c>
    </row>
  </sheetData>
  <mergeCells count="2">
    <mergeCell ref="A1:D1"/>
    <mergeCell ref="A2:D2"/>
  </mergeCells>
  <dataValidations count="1">
    <dataValidation type="textLength" allowBlank="1" showInputMessage="1" showErrorMessage="1" errorTitle="Erro" error="O texto inserido excede o tamanho máximo permitido para esta célula." sqref="A6:A1048576" xr:uid="{00000000-0002-0000-0300-000000000000}">
      <formula1>1</formula1>
      <formula2>50</formula2>
    </dataValidation>
  </dataValidations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Planilha5"/>
  <dimension ref="A2:W313"/>
  <sheetViews>
    <sheetView workbookViewId="0">
      <selection activeCell="O12" sqref="O12"/>
    </sheetView>
  </sheetViews>
  <sheetFormatPr defaultRowHeight="15" x14ac:dyDescent="0.25"/>
  <sheetData>
    <row r="2" spans="1:23" x14ac:dyDescent="0.25">
      <c r="A2" t="s">
        <v>40</v>
      </c>
      <c r="B2" t="s">
        <v>41</v>
      </c>
      <c r="E2" t="s">
        <v>42</v>
      </c>
      <c r="H2" t="s">
        <v>43</v>
      </c>
      <c r="J2" t="s">
        <v>44</v>
      </c>
      <c r="P2" t="s">
        <v>45</v>
      </c>
      <c r="R2">
        <v>1</v>
      </c>
      <c r="S2">
        <v>1</v>
      </c>
      <c r="T2">
        <v>1</v>
      </c>
      <c r="U2">
        <v>3</v>
      </c>
      <c r="V2">
        <v>1</v>
      </c>
      <c r="W2">
        <v>5</v>
      </c>
    </row>
    <row r="3" spans="1:23" x14ac:dyDescent="0.25">
      <c r="A3" t="s">
        <v>46</v>
      </c>
      <c r="B3" t="s">
        <v>47</v>
      </c>
      <c r="E3" t="s">
        <v>48</v>
      </c>
      <c r="H3" t="s">
        <v>49</v>
      </c>
      <c r="J3" t="s">
        <v>50</v>
      </c>
      <c r="P3" t="s">
        <v>51</v>
      </c>
      <c r="R3">
        <v>2</v>
      </c>
      <c r="S3">
        <v>2</v>
      </c>
      <c r="T3">
        <v>2</v>
      </c>
      <c r="U3">
        <v>4</v>
      </c>
      <c r="V3">
        <v>2</v>
      </c>
      <c r="W3">
        <v>10</v>
      </c>
    </row>
    <row r="4" spans="1:23" x14ac:dyDescent="0.25">
      <c r="A4" t="s">
        <v>52</v>
      </c>
      <c r="B4" t="s">
        <v>53</v>
      </c>
      <c r="E4" t="s">
        <v>54</v>
      </c>
      <c r="H4" t="s">
        <v>55</v>
      </c>
      <c r="J4" t="s">
        <v>56</v>
      </c>
      <c r="P4" t="s">
        <v>57</v>
      </c>
      <c r="R4">
        <v>3</v>
      </c>
      <c r="S4">
        <v>3</v>
      </c>
      <c r="T4">
        <v>3</v>
      </c>
      <c r="U4">
        <v>5</v>
      </c>
      <c r="V4">
        <v>3</v>
      </c>
      <c r="W4">
        <v>14</v>
      </c>
    </row>
    <row r="5" spans="1:23" x14ac:dyDescent="0.25">
      <c r="A5" t="s">
        <v>58</v>
      </c>
      <c r="B5" t="s">
        <v>59</v>
      </c>
      <c r="E5" t="s">
        <v>60</v>
      </c>
      <c r="H5" t="s">
        <v>61</v>
      </c>
      <c r="J5" t="s">
        <v>62</v>
      </c>
      <c r="P5" t="s">
        <v>63</v>
      </c>
      <c r="R5">
        <v>4</v>
      </c>
      <c r="S5">
        <v>4</v>
      </c>
      <c r="T5">
        <v>4</v>
      </c>
      <c r="U5">
        <v>6</v>
      </c>
      <c r="V5">
        <v>4</v>
      </c>
      <c r="W5">
        <v>16</v>
      </c>
    </row>
    <row r="6" spans="1:23" x14ac:dyDescent="0.25">
      <c r="A6" t="s">
        <v>64</v>
      </c>
      <c r="B6" t="s">
        <v>65</v>
      </c>
      <c r="E6" t="s">
        <v>66</v>
      </c>
      <c r="H6" t="s">
        <v>67</v>
      </c>
      <c r="J6" t="s">
        <v>68</v>
      </c>
      <c r="P6" t="s">
        <v>69</v>
      </c>
      <c r="R6">
        <v>5</v>
      </c>
      <c r="S6">
        <v>5</v>
      </c>
      <c r="T6">
        <v>5</v>
      </c>
      <c r="U6">
        <v>9</v>
      </c>
      <c r="V6">
        <v>5</v>
      </c>
      <c r="W6">
        <v>17</v>
      </c>
    </row>
    <row r="7" spans="1:23" x14ac:dyDescent="0.25">
      <c r="A7" t="s">
        <v>70</v>
      </c>
      <c r="B7" t="s">
        <v>71</v>
      </c>
      <c r="E7" t="s">
        <v>72</v>
      </c>
      <c r="H7" t="s">
        <v>73</v>
      </c>
      <c r="J7" t="s">
        <v>74</v>
      </c>
      <c r="P7" t="s">
        <v>75</v>
      </c>
      <c r="R7">
        <v>6</v>
      </c>
      <c r="S7">
        <v>6</v>
      </c>
      <c r="T7">
        <v>6</v>
      </c>
      <c r="U7">
        <v>10</v>
      </c>
      <c r="V7">
        <v>6</v>
      </c>
      <c r="W7">
        <v>18</v>
      </c>
    </row>
    <row r="8" spans="1:23" x14ac:dyDescent="0.25">
      <c r="A8" t="s">
        <v>76</v>
      </c>
      <c r="B8" t="s">
        <v>77</v>
      </c>
      <c r="E8" t="s">
        <v>78</v>
      </c>
      <c r="H8" t="s">
        <v>79</v>
      </c>
      <c r="J8" t="s">
        <v>80</v>
      </c>
      <c r="P8" t="s">
        <v>81</v>
      </c>
      <c r="R8">
        <v>7</v>
      </c>
      <c r="S8">
        <v>7</v>
      </c>
      <c r="T8">
        <v>7</v>
      </c>
      <c r="U8">
        <v>12</v>
      </c>
      <c r="V8">
        <v>7</v>
      </c>
      <c r="W8">
        <v>19</v>
      </c>
    </row>
    <row r="9" spans="1:23" x14ac:dyDescent="0.25">
      <c r="A9" t="s">
        <v>82</v>
      </c>
      <c r="B9" t="s">
        <v>83</v>
      </c>
      <c r="E9" t="s">
        <v>84</v>
      </c>
      <c r="H9" t="s">
        <v>85</v>
      </c>
      <c r="J9" t="s">
        <v>86</v>
      </c>
      <c r="P9" t="s">
        <v>87</v>
      </c>
      <c r="R9">
        <v>8</v>
      </c>
      <c r="S9">
        <v>8</v>
      </c>
      <c r="T9">
        <v>8</v>
      </c>
      <c r="U9">
        <v>13</v>
      </c>
      <c r="V9">
        <v>8</v>
      </c>
      <c r="W9">
        <v>20</v>
      </c>
    </row>
    <row r="10" spans="1:23" x14ac:dyDescent="0.25">
      <c r="A10" t="s">
        <v>88</v>
      </c>
      <c r="B10" t="s">
        <v>89</v>
      </c>
      <c r="E10" t="s">
        <v>90</v>
      </c>
      <c r="H10" t="s">
        <v>91</v>
      </c>
      <c r="J10" t="s">
        <v>92</v>
      </c>
      <c r="P10" t="s">
        <v>93</v>
      </c>
      <c r="R10">
        <v>9</v>
      </c>
      <c r="S10">
        <v>9</v>
      </c>
      <c r="T10">
        <v>9</v>
      </c>
      <c r="U10">
        <v>14</v>
      </c>
      <c r="V10">
        <v>9</v>
      </c>
      <c r="W10">
        <v>21</v>
      </c>
    </row>
    <row r="11" spans="1:23" x14ac:dyDescent="0.25">
      <c r="A11" t="s">
        <v>94</v>
      </c>
      <c r="B11" t="s">
        <v>95</v>
      </c>
      <c r="E11" t="s">
        <v>96</v>
      </c>
      <c r="H11" t="s">
        <v>97</v>
      </c>
      <c r="P11" t="s">
        <v>98</v>
      </c>
      <c r="R11">
        <v>10</v>
      </c>
      <c r="S11">
        <v>10</v>
      </c>
      <c r="T11">
        <v>10</v>
      </c>
      <c r="U11">
        <v>16</v>
      </c>
      <c r="W11">
        <v>22</v>
      </c>
    </row>
    <row r="12" spans="1:23" x14ac:dyDescent="0.25">
      <c r="A12" t="s">
        <v>99</v>
      </c>
      <c r="B12" t="s">
        <v>100</v>
      </c>
      <c r="E12" t="s">
        <v>101</v>
      </c>
      <c r="H12" t="s">
        <v>102</v>
      </c>
      <c r="P12" t="s">
        <v>103</v>
      </c>
      <c r="R12">
        <v>11</v>
      </c>
      <c r="T12">
        <v>11</v>
      </c>
      <c r="U12">
        <v>17</v>
      </c>
      <c r="W12">
        <v>23</v>
      </c>
    </row>
    <row r="13" spans="1:23" x14ac:dyDescent="0.25">
      <c r="A13" t="s">
        <v>104</v>
      </c>
      <c r="B13" t="s">
        <v>105</v>
      </c>
      <c r="E13" t="s">
        <v>106</v>
      </c>
      <c r="H13" t="s">
        <v>107</v>
      </c>
      <c r="R13">
        <v>12</v>
      </c>
      <c r="T13">
        <v>12</v>
      </c>
      <c r="U13">
        <v>18</v>
      </c>
    </row>
    <row r="14" spans="1:23" x14ac:dyDescent="0.25">
      <c r="A14" t="s">
        <v>108</v>
      </c>
      <c r="B14" t="s">
        <v>109</v>
      </c>
      <c r="E14" t="s">
        <v>110</v>
      </c>
      <c r="H14" t="s">
        <v>111</v>
      </c>
      <c r="R14">
        <v>13</v>
      </c>
      <c r="T14">
        <v>13</v>
      </c>
      <c r="U14">
        <v>19</v>
      </c>
    </row>
    <row r="15" spans="1:23" x14ac:dyDescent="0.25">
      <c r="A15" t="s">
        <v>112</v>
      </c>
      <c r="B15" t="s">
        <v>113</v>
      </c>
      <c r="E15" t="s">
        <v>114</v>
      </c>
      <c r="H15" t="s">
        <v>115</v>
      </c>
      <c r="R15">
        <v>14</v>
      </c>
      <c r="T15">
        <v>15</v>
      </c>
      <c r="U15">
        <v>20</v>
      </c>
    </row>
    <row r="16" spans="1:23" x14ac:dyDescent="0.25">
      <c r="A16" t="s">
        <v>116</v>
      </c>
      <c r="B16" t="s">
        <v>117</v>
      </c>
      <c r="E16" t="s">
        <v>118</v>
      </c>
      <c r="H16" t="s">
        <v>119</v>
      </c>
      <c r="R16">
        <v>15</v>
      </c>
      <c r="T16">
        <v>16</v>
      </c>
      <c r="U16">
        <v>21</v>
      </c>
    </row>
    <row r="17" spans="1:21" x14ac:dyDescent="0.25">
      <c r="A17" t="s">
        <v>120</v>
      </c>
      <c r="B17" t="s">
        <v>121</v>
      </c>
      <c r="E17" t="s">
        <v>122</v>
      </c>
      <c r="H17" t="s">
        <v>123</v>
      </c>
      <c r="R17">
        <v>16</v>
      </c>
      <c r="T17">
        <v>17</v>
      </c>
      <c r="U17">
        <v>22</v>
      </c>
    </row>
    <row r="18" spans="1:21" x14ac:dyDescent="0.25">
      <c r="A18" t="s">
        <v>124</v>
      </c>
      <c r="B18" t="s">
        <v>125</v>
      </c>
      <c r="E18" t="s">
        <v>126</v>
      </c>
      <c r="H18" t="s">
        <v>127</v>
      </c>
      <c r="R18">
        <v>17</v>
      </c>
      <c r="T18">
        <v>18</v>
      </c>
      <c r="U18">
        <v>24</v>
      </c>
    </row>
    <row r="19" spans="1:21" x14ac:dyDescent="0.25">
      <c r="A19" t="s">
        <v>128</v>
      </c>
      <c r="B19" t="s">
        <v>129</v>
      </c>
      <c r="E19" t="s">
        <v>130</v>
      </c>
      <c r="H19" t="s">
        <v>131</v>
      </c>
      <c r="R19">
        <v>18</v>
      </c>
      <c r="T19">
        <v>20</v>
      </c>
      <c r="U19">
        <v>27</v>
      </c>
    </row>
    <row r="20" spans="1:21" x14ac:dyDescent="0.25">
      <c r="A20" t="s">
        <v>132</v>
      </c>
      <c r="B20" t="s">
        <v>133</v>
      </c>
      <c r="E20" t="s">
        <v>134</v>
      </c>
      <c r="H20" t="s">
        <v>135</v>
      </c>
      <c r="R20">
        <v>19</v>
      </c>
      <c r="T20">
        <v>21</v>
      </c>
      <c r="U20">
        <v>30</v>
      </c>
    </row>
    <row r="21" spans="1:21" x14ac:dyDescent="0.25">
      <c r="A21" t="s">
        <v>136</v>
      </c>
      <c r="B21" t="s">
        <v>137</v>
      </c>
      <c r="E21" t="s">
        <v>138</v>
      </c>
      <c r="H21" t="s">
        <v>139</v>
      </c>
      <c r="R21">
        <v>20</v>
      </c>
      <c r="T21">
        <v>22</v>
      </c>
      <c r="U21">
        <v>34</v>
      </c>
    </row>
    <row r="22" spans="1:21" x14ac:dyDescent="0.25">
      <c r="A22" t="s">
        <v>140</v>
      </c>
      <c r="B22" t="s">
        <v>141</v>
      </c>
      <c r="E22" t="s">
        <v>142</v>
      </c>
      <c r="H22" t="s">
        <v>143</v>
      </c>
      <c r="R22">
        <v>21</v>
      </c>
      <c r="T22">
        <v>23</v>
      </c>
      <c r="U22">
        <v>35</v>
      </c>
    </row>
    <row r="23" spans="1:21" x14ac:dyDescent="0.25">
      <c r="A23" t="s">
        <v>144</v>
      </c>
      <c r="B23" t="s">
        <v>145</v>
      </c>
      <c r="E23" t="s">
        <v>146</v>
      </c>
      <c r="H23" t="s">
        <v>147</v>
      </c>
      <c r="R23">
        <v>22</v>
      </c>
      <c r="T23">
        <v>24</v>
      </c>
      <c r="U23">
        <v>37</v>
      </c>
    </row>
    <row r="24" spans="1:21" x14ac:dyDescent="0.25">
      <c r="A24" t="s">
        <v>148</v>
      </c>
      <c r="B24" t="s">
        <v>149</v>
      </c>
      <c r="E24" t="s">
        <v>150</v>
      </c>
      <c r="H24" t="s">
        <v>151</v>
      </c>
      <c r="R24">
        <v>23</v>
      </c>
      <c r="T24">
        <v>25</v>
      </c>
      <c r="U24">
        <v>38</v>
      </c>
    </row>
    <row r="25" spans="1:21" x14ac:dyDescent="0.25">
      <c r="A25" t="s">
        <v>152</v>
      </c>
      <c r="B25" t="s">
        <v>153</v>
      </c>
      <c r="E25" t="s">
        <v>154</v>
      </c>
      <c r="H25" t="s">
        <v>155</v>
      </c>
      <c r="R25">
        <v>24</v>
      </c>
      <c r="T25">
        <v>26</v>
      </c>
      <c r="U25">
        <v>39</v>
      </c>
    </row>
    <row r="26" spans="1:21" x14ac:dyDescent="0.25">
      <c r="A26" t="s">
        <v>156</v>
      </c>
      <c r="B26" t="s">
        <v>157</v>
      </c>
      <c r="E26" t="s">
        <v>158</v>
      </c>
      <c r="H26" t="s">
        <v>159</v>
      </c>
      <c r="R26">
        <v>25</v>
      </c>
      <c r="T26">
        <v>27</v>
      </c>
      <c r="U26">
        <v>43</v>
      </c>
    </row>
    <row r="27" spans="1:21" x14ac:dyDescent="0.25">
      <c r="A27" t="s">
        <v>160</v>
      </c>
      <c r="B27" t="s">
        <v>161</v>
      </c>
      <c r="E27" t="s">
        <v>162</v>
      </c>
      <c r="H27" t="s">
        <v>163</v>
      </c>
      <c r="R27">
        <v>26</v>
      </c>
      <c r="T27">
        <v>28</v>
      </c>
      <c r="U27">
        <v>44</v>
      </c>
    </row>
    <row r="28" spans="1:21" x14ac:dyDescent="0.25">
      <c r="A28" t="s">
        <v>164</v>
      </c>
      <c r="B28" t="s">
        <v>165</v>
      </c>
      <c r="E28" t="s">
        <v>166</v>
      </c>
      <c r="H28" t="s">
        <v>167</v>
      </c>
      <c r="R28">
        <v>27</v>
      </c>
      <c r="T28">
        <v>29</v>
      </c>
      <c r="U28">
        <v>45</v>
      </c>
    </row>
    <row r="29" spans="1:21" x14ac:dyDescent="0.25">
      <c r="A29" t="s">
        <v>168</v>
      </c>
      <c r="B29" t="s">
        <v>169</v>
      </c>
      <c r="E29" t="s">
        <v>170</v>
      </c>
      <c r="H29" t="s">
        <v>171</v>
      </c>
      <c r="R29">
        <v>28</v>
      </c>
      <c r="T29">
        <v>31</v>
      </c>
      <c r="U29">
        <v>46</v>
      </c>
    </row>
    <row r="30" spans="1:21" x14ac:dyDescent="0.25">
      <c r="A30" t="s">
        <v>172</v>
      </c>
      <c r="B30" t="s">
        <v>173</v>
      </c>
      <c r="E30" t="s">
        <v>174</v>
      </c>
      <c r="H30" t="s">
        <v>175</v>
      </c>
      <c r="R30">
        <v>29</v>
      </c>
      <c r="T30">
        <v>34</v>
      </c>
      <c r="U30">
        <v>47</v>
      </c>
    </row>
    <row r="31" spans="1:21" x14ac:dyDescent="0.25">
      <c r="A31" t="s">
        <v>176</v>
      </c>
      <c r="B31" t="s">
        <v>177</v>
      </c>
      <c r="E31" t="s">
        <v>178</v>
      </c>
      <c r="H31" t="s">
        <v>179</v>
      </c>
      <c r="R31">
        <v>30</v>
      </c>
      <c r="T31">
        <v>37</v>
      </c>
      <c r="U31">
        <v>48</v>
      </c>
    </row>
    <row r="32" spans="1:21" x14ac:dyDescent="0.25">
      <c r="A32" t="s">
        <v>180</v>
      </c>
      <c r="B32" t="s">
        <v>181</v>
      </c>
      <c r="E32" t="s">
        <v>182</v>
      </c>
      <c r="H32" t="s">
        <v>183</v>
      </c>
      <c r="R32">
        <v>31</v>
      </c>
      <c r="T32">
        <v>38</v>
      </c>
      <c r="U32">
        <v>54</v>
      </c>
    </row>
    <row r="33" spans="1:21" x14ac:dyDescent="0.25">
      <c r="A33" t="s">
        <v>184</v>
      </c>
      <c r="B33" t="s">
        <v>185</v>
      </c>
      <c r="E33" t="s">
        <v>186</v>
      </c>
      <c r="R33">
        <v>32</v>
      </c>
      <c r="T33">
        <v>39</v>
      </c>
      <c r="U33">
        <v>7</v>
      </c>
    </row>
    <row r="34" spans="1:21" x14ac:dyDescent="0.25">
      <c r="A34" t="s">
        <v>187</v>
      </c>
      <c r="B34" t="s">
        <v>188</v>
      </c>
      <c r="E34" t="s">
        <v>189</v>
      </c>
      <c r="R34">
        <v>33</v>
      </c>
      <c r="T34">
        <v>40</v>
      </c>
      <c r="U34">
        <v>11</v>
      </c>
    </row>
    <row r="35" spans="1:21" x14ac:dyDescent="0.25">
      <c r="A35" t="s">
        <v>190</v>
      </c>
      <c r="B35" t="s">
        <v>191</v>
      </c>
      <c r="E35" t="s">
        <v>192</v>
      </c>
      <c r="R35">
        <v>34</v>
      </c>
      <c r="T35">
        <v>41</v>
      </c>
      <c r="U35">
        <v>15</v>
      </c>
    </row>
    <row r="36" spans="1:21" x14ac:dyDescent="0.25">
      <c r="A36" t="s">
        <v>193</v>
      </c>
      <c r="B36" t="s">
        <v>194</v>
      </c>
      <c r="E36" t="s">
        <v>195</v>
      </c>
      <c r="R36">
        <v>35</v>
      </c>
      <c r="T36">
        <v>42</v>
      </c>
      <c r="U36">
        <v>23</v>
      </c>
    </row>
    <row r="37" spans="1:21" x14ac:dyDescent="0.25">
      <c r="A37" t="s">
        <v>196</v>
      </c>
      <c r="B37" t="s">
        <v>197</v>
      </c>
      <c r="E37" t="s">
        <v>198</v>
      </c>
      <c r="R37">
        <v>36</v>
      </c>
      <c r="T37">
        <v>43</v>
      </c>
      <c r="U37">
        <v>25</v>
      </c>
    </row>
    <row r="38" spans="1:21" x14ac:dyDescent="0.25">
      <c r="A38" t="s">
        <v>199</v>
      </c>
      <c r="B38" t="s">
        <v>200</v>
      </c>
      <c r="E38" t="s">
        <v>201</v>
      </c>
      <c r="R38">
        <v>37</v>
      </c>
      <c r="T38">
        <v>44</v>
      </c>
      <c r="U38">
        <v>26</v>
      </c>
    </row>
    <row r="39" spans="1:21" x14ac:dyDescent="0.25">
      <c r="B39" t="s">
        <v>202</v>
      </c>
      <c r="E39" t="s">
        <v>203</v>
      </c>
      <c r="T39">
        <v>45</v>
      </c>
      <c r="U39">
        <v>28</v>
      </c>
    </row>
    <row r="40" spans="1:21" x14ac:dyDescent="0.25">
      <c r="B40" t="s">
        <v>181</v>
      </c>
      <c r="E40" t="s">
        <v>204</v>
      </c>
      <c r="T40">
        <v>46</v>
      </c>
      <c r="U40">
        <v>29</v>
      </c>
    </row>
    <row r="41" spans="1:21" x14ac:dyDescent="0.25">
      <c r="B41" t="s">
        <v>185</v>
      </c>
      <c r="E41" t="s">
        <v>205</v>
      </c>
      <c r="T41">
        <v>47</v>
      </c>
      <c r="U41">
        <v>31</v>
      </c>
    </row>
    <row r="42" spans="1:21" x14ac:dyDescent="0.25">
      <c r="B42" t="s">
        <v>188</v>
      </c>
      <c r="E42" t="s">
        <v>206</v>
      </c>
      <c r="T42">
        <v>48</v>
      </c>
      <c r="U42">
        <v>32</v>
      </c>
    </row>
    <row r="43" spans="1:21" x14ac:dyDescent="0.25">
      <c r="B43" t="s">
        <v>191</v>
      </c>
      <c r="E43" t="s">
        <v>207</v>
      </c>
      <c r="T43">
        <v>49</v>
      </c>
      <c r="U43">
        <v>33</v>
      </c>
    </row>
    <row r="44" spans="1:21" x14ac:dyDescent="0.25">
      <c r="B44" t="s">
        <v>208</v>
      </c>
      <c r="E44" t="s">
        <v>209</v>
      </c>
      <c r="T44">
        <v>50</v>
      </c>
      <c r="U44">
        <v>36</v>
      </c>
    </row>
    <row r="45" spans="1:21" x14ac:dyDescent="0.25">
      <c r="B45" t="s">
        <v>173</v>
      </c>
      <c r="E45" t="s">
        <v>210</v>
      </c>
      <c r="T45">
        <v>52</v>
      </c>
      <c r="U45">
        <v>40</v>
      </c>
    </row>
    <row r="46" spans="1:21" x14ac:dyDescent="0.25">
      <c r="B46" t="s">
        <v>211</v>
      </c>
      <c r="E46" t="s">
        <v>212</v>
      </c>
      <c r="T46">
        <v>53</v>
      </c>
      <c r="U46">
        <v>41</v>
      </c>
    </row>
    <row r="47" spans="1:21" x14ac:dyDescent="0.25">
      <c r="B47" t="s">
        <v>213</v>
      </c>
      <c r="E47" t="s">
        <v>214</v>
      </c>
      <c r="T47">
        <v>54</v>
      </c>
      <c r="U47">
        <v>49</v>
      </c>
    </row>
    <row r="48" spans="1:21" x14ac:dyDescent="0.25">
      <c r="B48" t="s">
        <v>215</v>
      </c>
      <c r="E48" t="s">
        <v>216</v>
      </c>
      <c r="T48">
        <v>55</v>
      </c>
      <c r="U48">
        <v>50</v>
      </c>
    </row>
    <row r="49" spans="2:21" x14ac:dyDescent="0.25">
      <c r="B49" t="s">
        <v>217</v>
      </c>
      <c r="E49" t="s">
        <v>218</v>
      </c>
      <c r="T49">
        <v>57</v>
      </c>
      <c r="U49">
        <v>51</v>
      </c>
    </row>
    <row r="50" spans="2:21" x14ac:dyDescent="0.25">
      <c r="B50" t="s">
        <v>219</v>
      </c>
      <c r="E50" t="s">
        <v>220</v>
      </c>
      <c r="T50">
        <v>58</v>
      </c>
      <c r="U50">
        <v>52</v>
      </c>
    </row>
    <row r="51" spans="2:21" x14ac:dyDescent="0.25">
      <c r="B51" t="s">
        <v>208</v>
      </c>
      <c r="E51" t="s">
        <v>221</v>
      </c>
      <c r="T51">
        <v>59</v>
      </c>
      <c r="U51">
        <v>53</v>
      </c>
    </row>
    <row r="52" spans="2:21" x14ac:dyDescent="0.25">
      <c r="B52" t="s">
        <v>173</v>
      </c>
      <c r="E52" t="s">
        <v>222</v>
      </c>
      <c r="T52">
        <v>60</v>
      </c>
      <c r="U52">
        <v>8</v>
      </c>
    </row>
    <row r="53" spans="2:21" x14ac:dyDescent="0.25">
      <c r="B53" t="s">
        <v>223</v>
      </c>
      <c r="E53" t="s">
        <v>224</v>
      </c>
      <c r="T53">
        <v>61</v>
      </c>
    </row>
    <row r="54" spans="2:21" x14ac:dyDescent="0.25">
      <c r="B54" t="s">
        <v>181</v>
      </c>
      <c r="E54" t="s">
        <v>225</v>
      </c>
      <c r="T54">
        <v>62</v>
      </c>
    </row>
    <row r="55" spans="2:21" x14ac:dyDescent="0.25">
      <c r="B55" t="s">
        <v>226</v>
      </c>
      <c r="E55" t="s">
        <v>227</v>
      </c>
      <c r="T55">
        <v>63</v>
      </c>
    </row>
    <row r="56" spans="2:21" x14ac:dyDescent="0.25">
      <c r="B56" t="s">
        <v>228</v>
      </c>
      <c r="E56" t="s">
        <v>229</v>
      </c>
      <c r="T56">
        <v>64</v>
      </c>
    </row>
    <row r="57" spans="2:21" x14ac:dyDescent="0.25">
      <c r="B57" t="s">
        <v>223</v>
      </c>
      <c r="E57" t="s">
        <v>230</v>
      </c>
      <c r="T57">
        <v>65</v>
      </c>
    </row>
    <row r="58" spans="2:21" x14ac:dyDescent="0.25">
      <c r="B58" t="s">
        <v>181</v>
      </c>
      <c r="E58" t="s">
        <v>231</v>
      </c>
      <c r="T58">
        <v>66</v>
      </c>
    </row>
    <row r="59" spans="2:21" x14ac:dyDescent="0.25">
      <c r="B59" t="s">
        <v>232</v>
      </c>
      <c r="E59" t="s">
        <v>233</v>
      </c>
      <c r="T59">
        <v>67</v>
      </c>
    </row>
    <row r="60" spans="2:21" x14ac:dyDescent="0.25">
      <c r="B60" t="s">
        <v>234</v>
      </c>
      <c r="E60" t="s">
        <v>235</v>
      </c>
      <c r="T60">
        <v>68</v>
      </c>
    </row>
    <row r="61" spans="2:21" x14ac:dyDescent="0.25">
      <c r="B61" t="s">
        <v>236</v>
      </c>
      <c r="E61" t="s">
        <v>237</v>
      </c>
      <c r="T61">
        <v>71</v>
      </c>
    </row>
    <row r="62" spans="2:21" x14ac:dyDescent="0.25">
      <c r="B62" t="s">
        <v>238</v>
      </c>
      <c r="E62" t="s">
        <v>239</v>
      </c>
      <c r="T62">
        <v>73</v>
      </c>
    </row>
    <row r="63" spans="2:21" x14ac:dyDescent="0.25">
      <c r="B63" t="s">
        <v>240</v>
      </c>
      <c r="E63" t="s">
        <v>241</v>
      </c>
      <c r="T63">
        <v>74</v>
      </c>
    </row>
    <row r="64" spans="2:21" x14ac:dyDescent="0.25">
      <c r="B64" t="s">
        <v>242</v>
      </c>
      <c r="E64" t="s">
        <v>243</v>
      </c>
      <c r="T64">
        <v>75</v>
      </c>
    </row>
    <row r="65" spans="2:20" x14ac:dyDescent="0.25">
      <c r="B65" t="s">
        <v>244</v>
      </c>
      <c r="E65" t="s">
        <v>245</v>
      </c>
      <c r="T65">
        <v>76</v>
      </c>
    </row>
    <row r="66" spans="2:20" x14ac:dyDescent="0.25">
      <c r="B66" t="s">
        <v>246</v>
      </c>
      <c r="E66" t="s">
        <v>247</v>
      </c>
      <c r="T66">
        <v>77</v>
      </c>
    </row>
    <row r="67" spans="2:20" x14ac:dyDescent="0.25">
      <c r="B67" t="s">
        <v>248</v>
      </c>
      <c r="E67" t="s">
        <v>249</v>
      </c>
      <c r="T67">
        <v>78</v>
      </c>
    </row>
    <row r="68" spans="2:20" x14ac:dyDescent="0.25">
      <c r="B68" t="s">
        <v>250</v>
      </c>
      <c r="E68" t="s">
        <v>251</v>
      </c>
      <c r="T68">
        <v>79</v>
      </c>
    </row>
    <row r="69" spans="2:20" x14ac:dyDescent="0.25">
      <c r="B69" t="s">
        <v>252</v>
      </c>
      <c r="E69" t="s">
        <v>253</v>
      </c>
      <c r="T69">
        <v>80</v>
      </c>
    </row>
    <row r="70" spans="2:20" x14ac:dyDescent="0.25">
      <c r="B70" t="s">
        <v>254</v>
      </c>
      <c r="E70" t="s">
        <v>255</v>
      </c>
      <c r="T70">
        <v>81</v>
      </c>
    </row>
    <row r="71" spans="2:20" x14ac:dyDescent="0.25">
      <c r="B71" t="s">
        <v>256</v>
      </c>
      <c r="E71" t="s">
        <v>257</v>
      </c>
      <c r="T71">
        <v>82</v>
      </c>
    </row>
    <row r="72" spans="2:20" x14ac:dyDescent="0.25">
      <c r="B72" t="s">
        <v>194</v>
      </c>
      <c r="E72" t="s">
        <v>258</v>
      </c>
      <c r="T72">
        <v>83</v>
      </c>
    </row>
    <row r="73" spans="2:20" x14ac:dyDescent="0.25">
      <c r="B73" t="s">
        <v>259</v>
      </c>
      <c r="E73" t="s">
        <v>260</v>
      </c>
      <c r="T73">
        <v>84</v>
      </c>
    </row>
    <row r="74" spans="2:20" x14ac:dyDescent="0.25">
      <c r="B74" t="s">
        <v>261</v>
      </c>
      <c r="E74" t="s">
        <v>262</v>
      </c>
      <c r="T74">
        <v>86</v>
      </c>
    </row>
    <row r="75" spans="2:20" x14ac:dyDescent="0.25">
      <c r="B75" t="s">
        <v>263</v>
      </c>
      <c r="E75" t="s">
        <v>264</v>
      </c>
      <c r="T75">
        <v>87</v>
      </c>
    </row>
    <row r="76" spans="2:20" x14ac:dyDescent="0.25">
      <c r="B76" t="s">
        <v>263</v>
      </c>
      <c r="E76" t="s">
        <v>265</v>
      </c>
      <c r="T76">
        <v>88</v>
      </c>
    </row>
    <row r="77" spans="2:20" x14ac:dyDescent="0.25">
      <c r="B77" t="s">
        <v>266</v>
      </c>
      <c r="E77" t="s">
        <v>267</v>
      </c>
      <c r="T77">
        <v>89</v>
      </c>
    </row>
    <row r="78" spans="2:20" x14ac:dyDescent="0.25">
      <c r="B78" t="s">
        <v>223</v>
      </c>
      <c r="E78" t="s">
        <v>268</v>
      </c>
      <c r="T78">
        <v>90</v>
      </c>
    </row>
    <row r="79" spans="2:20" x14ac:dyDescent="0.25">
      <c r="B79" t="s">
        <v>269</v>
      </c>
      <c r="E79" t="s">
        <v>270</v>
      </c>
      <c r="T79">
        <v>91</v>
      </c>
    </row>
    <row r="80" spans="2:20" x14ac:dyDescent="0.25">
      <c r="B80" t="s">
        <v>215</v>
      </c>
      <c r="E80" t="s">
        <v>271</v>
      </c>
      <c r="T80">
        <v>92</v>
      </c>
    </row>
    <row r="81" spans="2:20" x14ac:dyDescent="0.25">
      <c r="B81" t="s">
        <v>272</v>
      </c>
      <c r="E81" t="s">
        <v>273</v>
      </c>
      <c r="T81">
        <v>93</v>
      </c>
    </row>
    <row r="82" spans="2:20" x14ac:dyDescent="0.25">
      <c r="B82" t="s">
        <v>274</v>
      </c>
      <c r="E82" t="s">
        <v>275</v>
      </c>
      <c r="T82">
        <v>94</v>
      </c>
    </row>
    <row r="83" spans="2:20" x14ac:dyDescent="0.25">
      <c r="B83" t="s">
        <v>208</v>
      </c>
      <c r="E83" t="s">
        <v>276</v>
      </c>
      <c r="T83">
        <v>95</v>
      </c>
    </row>
    <row r="84" spans="2:20" x14ac:dyDescent="0.25">
      <c r="B84" t="s">
        <v>173</v>
      </c>
      <c r="E84" t="s">
        <v>277</v>
      </c>
      <c r="T84">
        <v>96</v>
      </c>
    </row>
    <row r="85" spans="2:20" x14ac:dyDescent="0.25">
      <c r="B85" t="s">
        <v>278</v>
      </c>
      <c r="E85" t="s">
        <v>279</v>
      </c>
      <c r="T85">
        <v>97</v>
      </c>
    </row>
    <row r="86" spans="2:20" x14ac:dyDescent="0.25">
      <c r="B86" t="s">
        <v>280</v>
      </c>
      <c r="E86" t="s">
        <v>281</v>
      </c>
      <c r="T86">
        <v>98</v>
      </c>
    </row>
    <row r="87" spans="2:20" x14ac:dyDescent="0.25">
      <c r="B87" t="s">
        <v>232</v>
      </c>
      <c r="E87" t="s">
        <v>282</v>
      </c>
      <c r="T87">
        <v>99</v>
      </c>
    </row>
    <row r="88" spans="2:20" x14ac:dyDescent="0.25">
      <c r="B88" t="s">
        <v>188</v>
      </c>
      <c r="E88" t="s">
        <v>283</v>
      </c>
      <c r="T88">
        <v>100</v>
      </c>
    </row>
    <row r="89" spans="2:20" x14ac:dyDescent="0.25">
      <c r="B89" t="s">
        <v>191</v>
      </c>
      <c r="E89" t="s">
        <v>284</v>
      </c>
      <c r="T89">
        <v>101</v>
      </c>
    </row>
    <row r="90" spans="2:20" x14ac:dyDescent="0.25">
      <c r="B90" t="s">
        <v>208</v>
      </c>
      <c r="E90" t="s">
        <v>285</v>
      </c>
      <c r="T90">
        <v>102</v>
      </c>
    </row>
    <row r="91" spans="2:20" x14ac:dyDescent="0.25">
      <c r="B91" t="s">
        <v>173</v>
      </c>
      <c r="E91" t="s">
        <v>286</v>
      </c>
      <c r="T91">
        <v>103</v>
      </c>
    </row>
    <row r="92" spans="2:20" x14ac:dyDescent="0.25">
      <c r="B92" t="s">
        <v>287</v>
      </c>
      <c r="E92" t="s">
        <v>288</v>
      </c>
      <c r="T92">
        <v>104</v>
      </c>
    </row>
    <row r="93" spans="2:20" x14ac:dyDescent="0.25">
      <c r="B93" t="s">
        <v>280</v>
      </c>
      <c r="E93" t="s">
        <v>289</v>
      </c>
      <c r="T93">
        <v>105</v>
      </c>
    </row>
    <row r="94" spans="2:20" x14ac:dyDescent="0.25">
      <c r="B94" t="s">
        <v>290</v>
      </c>
      <c r="E94" t="s">
        <v>291</v>
      </c>
      <c r="T94">
        <v>106</v>
      </c>
    </row>
    <row r="95" spans="2:20" x14ac:dyDescent="0.25">
      <c r="B95" t="s">
        <v>292</v>
      </c>
      <c r="E95" t="s">
        <v>293</v>
      </c>
      <c r="T95">
        <v>107</v>
      </c>
    </row>
    <row r="96" spans="2:20" x14ac:dyDescent="0.25">
      <c r="B96" t="s">
        <v>294</v>
      </c>
      <c r="E96" t="s">
        <v>295</v>
      </c>
      <c r="T96">
        <v>108</v>
      </c>
    </row>
    <row r="97" spans="2:20" x14ac:dyDescent="0.25">
      <c r="B97" t="s">
        <v>296</v>
      </c>
      <c r="E97" t="s">
        <v>297</v>
      </c>
      <c r="T97">
        <v>109</v>
      </c>
    </row>
    <row r="98" spans="2:20" x14ac:dyDescent="0.25">
      <c r="B98" t="s">
        <v>298</v>
      </c>
      <c r="E98" t="s">
        <v>299</v>
      </c>
      <c r="T98">
        <v>110</v>
      </c>
    </row>
    <row r="99" spans="2:20" x14ac:dyDescent="0.25">
      <c r="B99" t="s">
        <v>228</v>
      </c>
      <c r="E99" t="s">
        <v>300</v>
      </c>
      <c r="T99">
        <v>111</v>
      </c>
    </row>
    <row r="100" spans="2:20" x14ac:dyDescent="0.25">
      <c r="B100" t="s">
        <v>223</v>
      </c>
      <c r="E100" t="s">
        <v>301</v>
      </c>
      <c r="T100">
        <v>112</v>
      </c>
    </row>
    <row r="101" spans="2:20" x14ac:dyDescent="0.25">
      <c r="B101" t="s">
        <v>181</v>
      </c>
      <c r="E101" t="s">
        <v>302</v>
      </c>
      <c r="T101">
        <v>113</v>
      </c>
    </row>
    <row r="102" spans="2:20" x14ac:dyDescent="0.25">
      <c r="B102" t="s">
        <v>232</v>
      </c>
      <c r="E102" t="s">
        <v>303</v>
      </c>
      <c r="T102">
        <v>114</v>
      </c>
    </row>
    <row r="103" spans="2:20" x14ac:dyDescent="0.25">
      <c r="B103" t="s">
        <v>234</v>
      </c>
      <c r="E103" t="s">
        <v>304</v>
      </c>
      <c r="T103">
        <v>115</v>
      </c>
    </row>
    <row r="104" spans="2:20" x14ac:dyDescent="0.25">
      <c r="B104" t="s">
        <v>236</v>
      </c>
      <c r="E104" t="s">
        <v>305</v>
      </c>
      <c r="T104">
        <v>116</v>
      </c>
    </row>
    <row r="105" spans="2:20" x14ac:dyDescent="0.25">
      <c r="B105" t="s">
        <v>306</v>
      </c>
      <c r="E105" t="s">
        <v>307</v>
      </c>
      <c r="T105">
        <v>117</v>
      </c>
    </row>
    <row r="106" spans="2:20" x14ac:dyDescent="0.25">
      <c r="B106" t="s">
        <v>308</v>
      </c>
      <c r="E106" t="s">
        <v>309</v>
      </c>
      <c r="T106">
        <v>118</v>
      </c>
    </row>
    <row r="107" spans="2:20" x14ac:dyDescent="0.25">
      <c r="B107" t="s">
        <v>242</v>
      </c>
      <c r="E107" t="s">
        <v>310</v>
      </c>
      <c r="T107">
        <v>119</v>
      </c>
    </row>
    <row r="108" spans="2:20" x14ac:dyDescent="0.25">
      <c r="B108" t="s">
        <v>311</v>
      </c>
      <c r="E108" t="s">
        <v>312</v>
      </c>
      <c r="T108">
        <v>120</v>
      </c>
    </row>
    <row r="109" spans="2:20" x14ac:dyDescent="0.25">
      <c r="B109" t="s">
        <v>246</v>
      </c>
      <c r="E109" t="s">
        <v>313</v>
      </c>
      <c r="T109">
        <v>121</v>
      </c>
    </row>
    <row r="110" spans="2:20" x14ac:dyDescent="0.25">
      <c r="B110" t="s">
        <v>248</v>
      </c>
      <c r="E110" t="s">
        <v>314</v>
      </c>
      <c r="T110">
        <v>122</v>
      </c>
    </row>
    <row r="111" spans="2:20" x14ac:dyDescent="0.25">
      <c r="B111" t="s">
        <v>250</v>
      </c>
      <c r="E111" t="s">
        <v>315</v>
      </c>
      <c r="T111">
        <v>123</v>
      </c>
    </row>
    <row r="112" spans="2:20" x14ac:dyDescent="0.25">
      <c r="B112" t="s">
        <v>252</v>
      </c>
      <c r="E112" t="s">
        <v>316</v>
      </c>
      <c r="T112">
        <v>124</v>
      </c>
    </row>
    <row r="113" spans="2:20" x14ac:dyDescent="0.25">
      <c r="B113" t="s">
        <v>254</v>
      </c>
      <c r="E113" t="s">
        <v>317</v>
      </c>
      <c r="T113">
        <v>125</v>
      </c>
    </row>
    <row r="114" spans="2:20" x14ac:dyDescent="0.25">
      <c r="B114" t="s">
        <v>318</v>
      </c>
      <c r="E114" t="s">
        <v>319</v>
      </c>
      <c r="T114">
        <v>126</v>
      </c>
    </row>
    <row r="115" spans="2:20" x14ac:dyDescent="0.25">
      <c r="B115" t="s">
        <v>320</v>
      </c>
      <c r="E115" t="s">
        <v>321</v>
      </c>
      <c r="T115">
        <v>127</v>
      </c>
    </row>
    <row r="116" spans="2:20" x14ac:dyDescent="0.25">
      <c r="B116" t="s">
        <v>322</v>
      </c>
      <c r="E116" t="s">
        <v>323</v>
      </c>
      <c r="T116">
        <v>128</v>
      </c>
    </row>
    <row r="117" spans="2:20" x14ac:dyDescent="0.25">
      <c r="B117" t="s">
        <v>324</v>
      </c>
      <c r="E117" t="s">
        <v>325</v>
      </c>
      <c r="T117">
        <v>129</v>
      </c>
    </row>
    <row r="118" spans="2:20" x14ac:dyDescent="0.25">
      <c r="B118" t="s">
        <v>326</v>
      </c>
      <c r="E118" t="s">
        <v>327</v>
      </c>
      <c r="T118">
        <v>130</v>
      </c>
    </row>
    <row r="119" spans="2:20" x14ac:dyDescent="0.25">
      <c r="B119" t="s">
        <v>328</v>
      </c>
      <c r="E119" t="s">
        <v>329</v>
      </c>
      <c r="T119">
        <v>131</v>
      </c>
    </row>
    <row r="120" spans="2:20" x14ac:dyDescent="0.25">
      <c r="B120" t="s">
        <v>330</v>
      </c>
      <c r="E120" t="s">
        <v>331</v>
      </c>
      <c r="T120">
        <v>132</v>
      </c>
    </row>
    <row r="121" spans="2:20" x14ac:dyDescent="0.25">
      <c r="B121" t="s">
        <v>332</v>
      </c>
      <c r="E121" t="s">
        <v>333</v>
      </c>
      <c r="T121">
        <v>134</v>
      </c>
    </row>
    <row r="122" spans="2:20" x14ac:dyDescent="0.25">
      <c r="B122" t="s">
        <v>334</v>
      </c>
      <c r="E122" t="s">
        <v>335</v>
      </c>
      <c r="T122">
        <v>135</v>
      </c>
    </row>
    <row r="123" spans="2:20" x14ac:dyDescent="0.25">
      <c r="B123" t="s">
        <v>336</v>
      </c>
      <c r="E123" t="s">
        <v>337</v>
      </c>
      <c r="T123">
        <v>136</v>
      </c>
    </row>
    <row r="124" spans="2:20" x14ac:dyDescent="0.25">
      <c r="B124" t="s">
        <v>338</v>
      </c>
      <c r="E124" t="s">
        <v>339</v>
      </c>
      <c r="T124">
        <v>137</v>
      </c>
    </row>
    <row r="125" spans="2:20" x14ac:dyDescent="0.25">
      <c r="B125" t="s">
        <v>340</v>
      </c>
      <c r="E125" t="s">
        <v>341</v>
      </c>
      <c r="T125">
        <v>138</v>
      </c>
    </row>
    <row r="126" spans="2:20" x14ac:dyDescent="0.25">
      <c r="B126" t="s">
        <v>342</v>
      </c>
      <c r="E126" t="s">
        <v>343</v>
      </c>
      <c r="T126">
        <v>139</v>
      </c>
    </row>
    <row r="127" spans="2:20" x14ac:dyDescent="0.25">
      <c r="B127" t="s">
        <v>344</v>
      </c>
      <c r="E127" t="s">
        <v>345</v>
      </c>
      <c r="T127">
        <v>140</v>
      </c>
    </row>
    <row r="128" spans="2:20" x14ac:dyDescent="0.25">
      <c r="B128" t="s">
        <v>346</v>
      </c>
      <c r="E128" t="s">
        <v>347</v>
      </c>
      <c r="T128">
        <v>141</v>
      </c>
    </row>
    <row r="129" spans="2:20" x14ac:dyDescent="0.25">
      <c r="B129" t="s">
        <v>348</v>
      </c>
      <c r="E129" t="s">
        <v>349</v>
      </c>
      <c r="T129">
        <v>142</v>
      </c>
    </row>
    <row r="130" spans="2:20" x14ac:dyDescent="0.25">
      <c r="B130" t="s">
        <v>350</v>
      </c>
      <c r="E130" t="s">
        <v>351</v>
      </c>
      <c r="T130">
        <v>143</v>
      </c>
    </row>
    <row r="131" spans="2:20" x14ac:dyDescent="0.25">
      <c r="B131" t="s">
        <v>352</v>
      </c>
      <c r="E131" t="s">
        <v>353</v>
      </c>
      <c r="T131">
        <v>144</v>
      </c>
    </row>
    <row r="132" spans="2:20" x14ac:dyDescent="0.25">
      <c r="B132" t="s">
        <v>354</v>
      </c>
      <c r="E132" t="s">
        <v>355</v>
      </c>
      <c r="T132">
        <v>145</v>
      </c>
    </row>
    <row r="133" spans="2:20" x14ac:dyDescent="0.25">
      <c r="B133" t="s">
        <v>202</v>
      </c>
      <c r="E133" t="s">
        <v>356</v>
      </c>
      <c r="T133">
        <v>146</v>
      </c>
    </row>
    <row r="134" spans="2:20" x14ac:dyDescent="0.25">
      <c r="B134" t="s">
        <v>357</v>
      </c>
      <c r="E134" t="s">
        <v>358</v>
      </c>
      <c r="T134">
        <v>147</v>
      </c>
    </row>
    <row r="135" spans="2:20" x14ac:dyDescent="0.25">
      <c r="B135" t="s">
        <v>359</v>
      </c>
      <c r="E135" t="s">
        <v>360</v>
      </c>
      <c r="T135">
        <v>148</v>
      </c>
    </row>
    <row r="136" spans="2:20" x14ac:dyDescent="0.25">
      <c r="B136" t="s">
        <v>361</v>
      </c>
      <c r="E136" t="s">
        <v>362</v>
      </c>
      <c r="T136">
        <v>149</v>
      </c>
    </row>
    <row r="137" spans="2:20" x14ac:dyDescent="0.25">
      <c r="B137" t="s">
        <v>363</v>
      </c>
      <c r="E137" t="s">
        <v>364</v>
      </c>
      <c r="T137">
        <v>151</v>
      </c>
    </row>
    <row r="138" spans="2:20" x14ac:dyDescent="0.25">
      <c r="B138" t="s">
        <v>340</v>
      </c>
      <c r="E138" t="s">
        <v>365</v>
      </c>
      <c r="T138">
        <v>152</v>
      </c>
    </row>
    <row r="139" spans="2:20" x14ac:dyDescent="0.25">
      <c r="B139" t="s">
        <v>366</v>
      </c>
      <c r="E139" t="s">
        <v>367</v>
      </c>
      <c r="T139">
        <v>153</v>
      </c>
    </row>
    <row r="140" spans="2:20" x14ac:dyDescent="0.25">
      <c r="B140" t="s">
        <v>65</v>
      </c>
      <c r="E140" t="s">
        <v>368</v>
      </c>
      <c r="T140">
        <v>154</v>
      </c>
    </row>
    <row r="141" spans="2:20" x14ac:dyDescent="0.25">
      <c r="B141" t="s">
        <v>173</v>
      </c>
      <c r="E141" t="s">
        <v>369</v>
      </c>
      <c r="T141">
        <v>155</v>
      </c>
    </row>
    <row r="142" spans="2:20" x14ac:dyDescent="0.25">
      <c r="B142" t="s">
        <v>370</v>
      </c>
      <c r="E142" t="s">
        <v>371</v>
      </c>
      <c r="T142">
        <v>156</v>
      </c>
    </row>
    <row r="143" spans="2:20" x14ac:dyDescent="0.25">
      <c r="B143" t="s">
        <v>213</v>
      </c>
      <c r="E143" t="s">
        <v>372</v>
      </c>
      <c r="T143">
        <v>157</v>
      </c>
    </row>
    <row r="144" spans="2:20" x14ac:dyDescent="0.25">
      <c r="B144" t="s">
        <v>373</v>
      </c>
      <c r="E144" t="s">
        <v>374</v>
      </c>
      <c r="T144">
        <v>158</v>
      </c>
    </row>
    <row r="145" spans="2:20" x14ac:dyDescent="0.25">
      <c r="B145" t="s">
        <v>375</v>
      </c>
      <c r="E145" t="s">
        <v>376</v>
      </c>
      <c r="T145">
        <v>159</v>
      </c>
    </row>
    <row r="146" spans="2:20" x14ac:dyDescent="0.25">
      <c r="B146" t="s">
        <v>173</v>
      </c>
      <c r="E146" t="s">
        <v>377</v>
      </c>
      <c r="T146">
        <v>161</v>
      </c>
    </row>
    <row r="147" spans="2:20" x14ac:dyDescent="0.25">
      <c r="B147" t="s">
        <v>287</v>
      </c>
      <c r="E147" t="s">
        <v>378</v>
      </c>
      <c r="T147">
        <v>162</v>
      </c>
    </row>
    <row r="148" spans="2:20" x14ac:dyDescent="0.25">
      <c r="B148" t="s">
        <v>250</v>
      </c>
      <c r="E148" t="s">
        <v>379</v>
      </c>
      <c r="T148">
        <v>163</v>
      </c>
    </row>
    <row r="149" spans="2:20" x14ac:dyDescent="0.25">
      <c r="B149" t="s">
        <v>359</v>
      </c>
      <c r="E149" t="s">
        <v>380</v>
      </c>
      <c r="T149">
        <v>165</v>
      </c>
    </row>
    <row r="150" spans="2:20" x14ac:dyDescent="0.25">
      <c r="B150" t="s">
        <v>381</v>
      </c>
      <c r="E150" t="s">
        <v>382</v>
      </c>
      <c r="T150">
        <v>166</v>
      </c>
    </row>
    <row r="151" spans="2:20" x14ac:dyDescent="0.25">
      <c r="B151" t="s">
        <v>219</v>
      </c>
      <c r="E151" t="s">
        <v>383</v>
      </c>
      <c r="T151">
        <v>167</v>
      </c>
    </row>
    <row r="152" spans="2:20" x14ac:dyDescent="0.25">
      <c r="B152" t="s">
        <v>296</v>
      </c>
      <c r="E152" t="s">
        <v>384</v>
      </c>
      <c r="T152">
        <v>168</v>
      </c>
    </row>
    <row r="153" spans="2:20" x14ac:dyDescent="0.25">
      <c r="B153" t="s">
        <v>385</v>
      </c>
      <c r="E153" t="s">
        <v>386</v>
      </c>
      <c r="T153">
        <v>169</v>
      </c>
    </row>
    <row r="154" spans="2:20" x14ac:dyDescent="0.25">
      <c r="B154" t="s">
        <v>242</v>
      </c>
      <c r="E154" t="s">
        <v>387</v>
      </c>
      <c r="T154">
        <v>170</v>
      </c>
    </row>
    <row r="155" spans="2:20" x14ac:dyDescent="0.25">
      <c r="B155" t="s">
        <v>388</v>
      </c>
      <c r="E155" t="s">
        <v>389</v>
      </c>
      <c r="T155">
        <v>171</v>
      </c>
    </row>
    <row r="156" spans="2:20" x14ac:dyDescent="0.25">
      <c r="B156" t="s">
        <v>390</v>
      </c>
      <c r="E156" t="s">
        <v>391</v>
      </c>
      <c r="T156">
        <v>173</v>
      </c>
    </row>
    <row r="157" spans="2:20" x14ac:dyDescent="0.25">
      <c r="B157" t="s">
        <v>392</v>
      </c>
      <c r="E157" t="s">
        <v>393</v>
      </c>
      <c r="T157">
        <v>174</v>
      </c>
    </row>
    <row r="158" spans="2:20" x14ac:dyDescent="0.25">
      <c r="B158" t="s">
        <v>394</v>
      </c>
      <c r="E158" t="s">
        <v>395</v>
      </c>
      <c r="T158">
        <v>175</v>
      </c>
    </row>
    <row r="159" spans="2:20" x14ac:dyDescent="0.25">
      <c r="B159" t="s">
        <v>396</v>
      </c>
      <c r="E159" t="s">
        <v>397</v>
      </c>
      <c r="T159">
        <v>176</v>
      </c>
    </row>
    <row r="160" spans="2:20" x14ac:dyDescent="0.25">
      <c r="B160" t="s">
        <v>228</v>
      </c>
      <c r="E160" t="s">
        <v>398</v>
      </c>
      <c r="T160">
        <v>177</v>
      </c>
    </row>
    <row r="161" spans="2:20" x14ac:dyDescent="0.25">
      <c r="B161" t="s">
        <v>399</v>
      </c>
      <c r="E161" t="s">
        <v>400</v>
      </c>
      <c r="T161">
        <v>178</v>
      </c>
    </row>
    <row r="162" spans="2:20" x14ac:dyDescent="0.25">
      <c r="B162" t="s">
        <v>181</v>
      </c>
      <c r="E162" t="s">
        <v>401</v>
      </c>
      <c r="T162">
        <v>179</v>
      </c>
    </row>
    <row r="163" spans="2:20" x14ac:dyDescent="0.25">
      <c r="B163" t="s">
        <v>402</v>
      </c>
      <c r="E163" t="s">
        <v>403</v>
      </c>
      <c r="T163">
        <v>180</v>
      </c>
    </row>
    <row r="164" spans="2:20" x14ac:dyDescent="0.25">
      <c r="B164" t="s">
        <v>254</v>
      </c>
      <c r="E164" t="s">
        <v>404</v>
      </c>
      <c r="T164">
        <v>183</v>
      </c>
    </row>
    <row r="165" spans="2:20" x14ac:dyDescent="0.25">
      <c r="B165" t="s">
        <v>191</v>
      </c>
      <c r="E165" t="s">
        <v>405</v>
      </c>
      <c r="T165">
        <v>184</v>
      </c>
    </row>
    <row r="166" spans="2:20" x14ac:dyDescent="0.25">
      <c r="B166" t="s">
        <v>194</v>
      </c>
      <c r="E166" t="s">
        <v>406</v>
      </c>
      <c r="T166">
        <v>185</v>
      </c>
    </row>
    <row r="167" spans="2:20" x14ac:dyDescent="0.25">
      <c r="B167" t="s">
        <v>407</v>
      </c>
      <c r="E167" t="s">
        <v>408</v>
      </c>
      <c r="T167">
        <v>186</v>
      </c>
    </row>
    <row r="168" spans="2:20" x14ac:dyDescent="0.25">
      <c r="B168" t="s">
        <v>409</v>
      </c>
      <c r="E168" t="s">
        <v>410</v>
      </c>
      <c r="T168">
        <v>187</v>
      </c>
    </row>
    <row r="169" spans="2:20" x14ac:dyDescent="0.25">
      <c r="B169" t="s">
        <v>246</v>
      </c>
      <c r="E169" t="s">
        <v>411</v>
      </c>
      <c r="T169">
        <v>188</v>
      </c>
    </row>
    <row r="170" spans="2:20" x14ac:dyDescent="0.25">
      <c r="B170" t="s">
        <v>412</v>
      </c>
      <c r="E170" t="s">
        <v>413</v>
      </c>
      <c r="T170">
        <v>189</v>
      </c>
    </row>
    <row r="171" spans="2:20" x14ac:dyDescent="0.25">
      <c r="B171" t="s">
        <v>414</v>
      </c>
      <c r="E171" t="s">
        <v>415</v>
      </c>
      <c r="T171">
        <v>190</v>
      </c>
    </row>
    <row r="172" spans="2:20" x14ac:dyDescent="0.25">
      <c r="B172" t="s">
        <v>366</v>
      </c>
      <c r="E172" t="s">
        <v>416</v>
      </c>
      <c r="T172">
        <v>191</v>
      </c>
    </row>
    <row r="173" spans="2:20" x14ac:dyDescent="0.25">
      <c r="B173" t="s">
        <v>417</v>
      </c>
      <c r="E173" t="s">
        <v>418</v>
      </c>
      <c r="T173">
        <v>192</v>
      </c>
    </row>
    <row r="174" spans="2:20" x14ac:dyDescent="0.25">
      <c r="B174" t="s">
        <v>219</v>
      </c>
      <c r="E174" t="s">
        <v>419</v>
      </c>
      <c r="T174">
        <v>193</v>
      </c>
    </row>
    <row r="175" spans="2:20" x14ac:dyDescent="0.25">
      <c r="B175" t="s">
        <v>320</v>
      </c>
      <c r="E175" t="s">
        <v>420</v>
      </c>
      <c r="T175">
        <v>194</v>
      </c>
    </row>
    <row r="176" spans="2:20" x14ac:dyDescent="0.25">
      <c r="B176" t="s">
        <v>421</v>
      </c>
      <c r="E176" t="s">
        <v>422</v>
      </c>
      <c r="T176">
        <v>195</v>
      </c>
    </row>
    <row r="177" spans="2:20" x14ac:dyDescent="0.25">
      <c r="B177" t="s">
        <v>423</v>
      </c>
      <c r="E177" t="s">
        <v>424</v>
      </c>
      <c r="T177">
        <v>196</v>
      </c>
    </row>
    <row r="178" spans="2:20" x14ac:dyDescent="0.25">
      <c r="B178" t="s">
        <v>425</v>
      </c>
      <c r="E178" t="s">
        <v>426</v>
      </c>
      <c r="T178">
        <v>197</v>
      </c>
    </row>
    <row r="179" spans="2:20" x14ac:dyDescent="0.25">
      <c r="B179" t="s">
        <v>228</v>
      </c>
      <c r="E179" t="s">
        <v>427</v>
      </c>
      <c r="T179">
        <v>198</v>
      </c>
    </row>
    <row r="180" spans="2:20" x14ac:dyDescent="0.25">
      <c r="B180" t="s">
        <v>223</v>
      </c>
      <c r="E180" t="s">
        <v>428</v>
      </c>
      <c r="T180">
        <v>199</v>
      </c>
    </row>
    <row r="181" spans="2:20" x14ac:dyDescent="0.25">
      <c r="B181" t="s">
        <v>429</v>
      </c>
      <c r="E181" t="s">
        <v>430</v>
      </c>
      <c r="T181">
        <v>200</v>
      </c>
    </row>
    <row r="182" spans="2:20" x14ac:dyDescent="0.25">
      <c r="B182" t="s">
        <v>232</v>
      </c>
      <c r="E182" t="s">
        <v>431</v>
      </c>
      <c r="T182">
        <v>201</v>
      </c>
    </row>
    <row r="183" spans="2:20" x14ac:dyDescent="0.25">
      <c r="B183" t="s">
        <v>432</v>
      </c>
      <c r="E183" t="s">
        <v>433</v>
      </c>
      <c r="T183">
        <v>202</v>
      </c>
    </row>
    <row r="184" spans="2:20" x14ac:dyDescent="0.25">
      <c r="B184" t="s">
        <v>191</v>
      </c>
      <c r="E184" t="s">
        <v>434</v>
      </c>
      <c r="T184">
        <v>203</v>
      </c>
    </row>
    <row r="185" spans="2:20" x14ac:dyDescent="0.25">
      <c r="B185" t="s">
        <v>208</v>
      </c>
      <c r="E185" t="s">
        <v>435</v>
      </c>
      <c r="T185">
        <v>204</v>
      </c>
    </row>
    <row r="186" spans="2:20" x14ac:dyDescent="0.25">
      <c r="B186" t="s">
        <v>173</v>
      </c>
      <c r="E186" t="s">
        <v>436</v>
      </c>
      <c r="T186">
        <v>205</v>
      </c>
    </row>
    <row r="187" spans="2:20" x14ac:dyDescent="0.25">
      <c r="B187" t="s">
        <v>248</v>
      </c>
      <c r="E187" t="s">
        <v>437</v>
      </c>
      <c r="T187">
        <v>206</v>
      </c>
    </row>
    <row r="188" spans="2:20" x14ac:dyDescent="0.25">
      <c r="B188" t="s">
        <v>438</v>
      </c>
      <c r="E188" t="s">
        <v>439</v>
      </c>
      <c r="T188">
        <v>207</v>
      </c>
    </row>
    <row r="189" spans="2:20" x14ac:dyDescent="0.25">
      <c r="B189" t="s">
        <v>440</v>
      </c>
      <c r="E189" t="s">
        <v>441</v>
      </c>
      <c r="T189">
        <v>208</v>
      </c>
    </row>
    <row r="190" spans="2:20" x14ac:dyDescent="0.25">
      <c r="B190" t="s">
        <v>442</v>
      </c>
      <c r="E190" t="s">
        <v>443</v>
      </c>
      <c r="T190">
        <v>209</v>
      </c>
    </row>
    <row r="191" spans="2:20" x14ac:dyDescent="0.25">
      <c r="B191" t="s">
        <v>444</v>
      </c>
      <c r="E191" t="s">
        <v>445</v>
      </c>
      <c r="T191">
        <v>210</v>
      </c>
    </row>
    <row r="192" spans="2:20" x14ac:dyDescent="0.25">
      <c r="B192" t="s">
        <v>446</v>
      </c>
      <c r="E192" t="s">
        <v>447</v>
      </c>
      <c r="T192">
        <v>211</v>
      </c>
    </row>
    <row r="193" spans="2:20" x14ac:dyDescent="0.25">
      <c r="B193" t="s">
        <v>259</v>
      </c>
      <c r="E193" t="s">
        <v>448</v>
      </c>
      <c r="T193">
        <v>212</v>
      </c>
    </row>
    <row r="194" spans="2:20" x14ac:dyDescent="0.25">
      <c r="B194" t="s">
        <v>449</v>
      </c>
      <c r="E194" t="s">
        <v>450</v>
      </c>
      <c r="T194">
        <v>213</v>
      </c>
    </row>
    <row r="195" spans="2:20" x14ac:dyDescent="0.25">
      <c r="B195" t="s">
        <v>451</v>
      </c>
      <c r="E195" t="s">
        <v>452</v>
      </c>
      <c r="T195">
        <v>214</v>
      </c>
    </row>
    <row r="196" spans="2:20" x14ac:dyDescent="0.25">
      <c r="B196" t="s">
        <v>453</v>
      </c>
      <c r="E196" t="s">
        <v>454</v>
      </c>
      <c r="T196">
        <v>215</v>
      </c>
    </row>
    <row r="197" spans="2:20" x14ac:dyDescent="0.25">
      <c r="B197" t="s">
        <v>455</v>
      </c>
      <c r="E197" t="s">
        <v>456</v>
      </c>
      <c r="T197">
        <v>216</v>
      </c>
    </row>
    <row r="198" spans="2:20" x14ac:dyDescent="0.25">
      <c r="E198" t="s">
        <v>457</v>
      </c>
      <c r="T198">
        <v>218</v>
      </c>
    </row>
    <row r="199" spans="2:20" x14ac:dyDescent="0.25">
      <c r="E199" t="s">
        <v>458</v>
      </c>
      <c r="T199">
        <v>219</v>
      </c>
    </row>
    <row r="200" spans="2:20" x14ac:dyDescent="0.25">
      <c r="E200" t="s">
        <v>459</v>
      </c>
      <c r="T200">
        <v>220</v>
      </c>
    </row>
    <row r="201" spans="2:20" x14ac:dyDescent="0.25">
      <c r="E201" t="s">
        <v>460</v>
      </c>
      <c r="T201">
        <v>221</v>
      </c>
    </row>
    <row r="202" spans="2:20" x14ac:dyDescent="0.25">
      <c r="E202" t="s">
        <v>461</v>
      </c>
      <c r="T202">
        <v>222</v>
      </c>
    </row>
    <row r="203" spans="2:20" x14ac:dyDescent="0.25">
      <c r="E203" t="s">
        <v>462</v>
      </c>
      <c r="T203">
        <v>223</v>
      </c>
    </row>
    <row r="204" spans="2:20" x14ac:dyDescent="0.25">
      <c r="E204" t="s">
        <v>463</v>
      </c>
      <c r="T204">
        <v>224</v>
      </c>
    </row>
    <row r="205" spans="2:20" x14ac:dyDescent="0.25">
      <c r="E205" t="s">
        <v>464</v>
      </c>
      <c r="T205">
        <v>225</v>
      </c>
    </row>
    <row r="206" spans="2:20" x14ac:dyDescent="0.25">
      <c r="E206" t="s">
        <v>465</v>
      </c>
      <c r="T206">
        <v>226</v>
      </c>
    </row>
    <row r="207" spans="2:20" x14ac:dyDescent="0.25">
      <c r="E207" t="s">
        <v>466</v>
      </c>
      <c r="T207">
        <v>227</v>
      </c>
    </row>
    <row r="208" spans="2:20" x14ac:dyDescent="0.25">
      <c r="E208" t="s">
        <v>467</v>
      </c>
      <c r="T208">
        <v>228</v>
      </c>
    </row>
    <row r="209" spans="5:20" x14ac:dyDescent="0.25">
      <c r="E209" t="s">
        <v>468</v>
      </c>
      <c r="T209">
        <v>229</v>
      </c>
    </row>
    <row r="210" spans="5:20" x14ac:dyDescent="0.25">
      <c r="E210" t="s">
        <v>469</v>
      </c>
      <c r="T210">
        <v>230</v>
      </c>
    </row>
    <row r="211" spans="5:20" x14ac:dyDescent="0.25">
      <c r="E211" t="s">
        <v>470</v>
      </c>
      <c r="T211">
        <v>231</v>
      </c>
    </row>
    <row r="212" spans="5:20" x14ac:dyDescent="0.25">
      <c r="E212" t="s">
        <v>471</v>
      </c>
      <c r="T212">
        <v>232</v>
      </c>
    </row>
    <row r="213" spans="5:20" x14ac:dyDescent="0.25">
      <c r="E213" t="s">
        <v>472</v>
      </c>
      <c r="T213">
        <v>233</v>
      </c>
    </row>
    <row r="214" spans="5:20" x14ac:dyDescent="0.25">
      <c r="E214" t="s">
        <v>473</v>
      </c>
      <c r="T214">
        <v>234</v>
      </c>
    </row>
    <row r="215" spans="5:20" x14ac:dyDescent="0.25">
      <c r="E215" t="s">
        <v>474</v>
      </c>
      <c r="T215">
        <v>235</v>
      </c>
    </row>
    <row r="216" spans="5:20" x14ac:dyDescent="0.25">
      <c r="E216" t="s">
        <v>475</v>
      </c>
      <c r="T216">
        <v>236</v>
      </c>
    </row>
    <row r="217" spans="5:20" x14ac:dyDescent="0.25">
      <c r="E217" t="s">
        <v>476</v>
      </c>
      <c r="T217">
        <v>237</v>
      </c>
    </row>
    <row r="218" spans="5:20" x14ac:dyDescent="0.25">
      <c r="E218" t="s">
        <v>477</v>
      </c>
      <c r="T218">
        <v>238</v>
      </c>
    </row>
    <row r="219" spans="5:20" x14ac:dyDescent="0.25">
      <c r="E219" t="s">
        <v>478</v>
      </c>
      <c r="T219">
        <v>239</v>
      </c>
    </row>
    <row r="220" spans="5:20" x14ac:dyDescent="0.25">
      <c r="E220" t="s">
        <v>479</v>
      </c>
      <c r="T220">
        <v>240</v>
      </c>
    </row>
    <row r="221" spans="5:20" x14ac:dyDescent="0.25">
      <c r="E221" t="s">
        <v>480</v>
      </c>
      <c r="T221">
        <v>241</v>
      </c>
    </row>
    <row r="222" spans="5:20" x14ac:dyDescent="0.25">
      <c r="E222" t="s">
        <v>481</v>
      </c>
      <c r="T222">
        <v>242</v>
      </c>
    </row>
    <row r="223" spans="5:20" x14ac:dyDescent="0.25">
      <c r="E223" t="s">
        <v>482</v>
      </c>
      <c r="T223">
        <v>243</v>
      </c>
    </row>
    <row r="224" spans="5:20" x14ac:dyDescent="0.25">
      <c r="E224" t="s">
        <v>483</v>
      </c>
      <c r="T224">
        <v>244</v>
      </c>
    </row>
    <row r="225" spans="5:20" x14ac:dyDescent="0.25">
      <c r="E225" t="s">
        <v>484</v>
      </c>
      <c r="T225">
        <v>245</v>
      </c>
    </row>
    <row r="226" spans="5:20" x14ac:dyDescent="0.25">
      <c r="E226" t="s">
        <v>485</v>
      </c>
      <c r="T226">
        <v>246</v>
      </c>
    </row>
    <row r="227" spans="5:20" x14ac:dyDescent="0.25">
      <c r="E227" t="s">
        <v>486</v>
      </c>
      <c r="T227">
        <v>247</v>
      </c>
    </row>
    <row r="228" spans="5:20" x14ac:dyDescent="0.25">
      <c r="E228" t="s">
        <v>487</v>
      </c>
      <c r="T228">
        <v>248</v>
      </c>
    </row>
    <row r="229" spans="5:20" x14ac:dyDescent="0.25">
      <c r="E229" t="s">
        <v>488</v>
      </c>
      <c r="T229">
        <v>249</v>
      </c>
    </row>
    <row r="230" spans="5:20" x14ac:dyDescent="0.25">
      <c r="E230" t="s">
        <v>489</v>
      </c>
      <c r="T230">
        <v>250</v>
      </c>
    </row>
    <row r="231" spans="5:20" x14ac:dyDescent="0.25">
      <c r="E231" t="s">
        <v>490</v>
      </c>
      <c r="T231">
        <v>251</v>
      </c>
    </row>
    <row r="232" spans="5:20" x14ac:dyDescent="0.25">
      <c r="E232" t="s">
        <v>491</v>
      </c>
      <c r="T232">
        <v>252</v>
      </c>
    </row>
    <row r="233" spans="5:20" x14ac:dyDescent="0.25">
      <c r="E233" t="s">
        <v>492</v>
      </c>
      <c r="T233">
        <v>253</v>
      </c>
    </row>
    <row r="234" spans="5:20" x14ac:dyDescent="0.25">
      <c r="E234" t="s">
        <v>493</v>
      </c>
      <c r="T234">
        <v>254</v>
      </c>
    </row>
    <row r="235" spans="5:20" x14ac:dyDescent="0.25">
      <c r="E235" t="s">
        <v>494</v>
      </c>
      <c r="T235">
        <v>255</v>
      </c>
    </row>
    <row r="236" spans="5:20" x14ac:dyDescent="0.25">
      <c r="E236" t="s">
        <v>495</v>
      </c>
      <c r="T236">
        <v>256</v>
      </c>
    </row>
    <row r="237" spans="5:20" x14ac:dyDescent="0.25">
      <c r="E237" t="s">
        <v>496</v>
      </c>
      <c r="T237">
        <v>257</v>
      </c>
    </row>
    <row r="238" spans="5:20" x14ac:dyDescent="0.25">
      <c r="E238" t="s">
        <v>497</v>
      </c>
      <c r="T238">
        <v>259</v>
      </c>
    </row>
    <row r="239" spans="5:20" x14ac:dyDescent="0.25">
      <c r="E239" t="s">
        <v>498</v>
      </c>
      <c r="T239">
        <v>261</v>
      </c>
    </row>
    <row r="240" spans="5:20" x14ac:dyDescent="0.25">
      <c r="E240" t="s">
        <v>499</v>
      </c>
      <c r="T240">
        <v>262</v>
      </c>
    </row>
    <row r="241" spans="5:20" x14ac:dyDescent="0.25">
      <c r="E241" t="s">
        <v>500</v>
      </c>
      <c r="T241">
        <v>263</v>
      </c>
    </row>
    <row r="242" spans="5:20" x14ac:dyDescent="0.25">
      <c r="E242" t="s">
        <v>501</v>
      </c>
      <c r="T242">
        <v>264</v>
      </c>
    </row>
    <row r="243" spans="5:20" x14ac:dyDescent="0.25">
      <c r="E243" t="s">
        <v>502</v>
      </c>
      <c r="T243">
        <v>265</v>
      </c>
    </row>
    <row r="244" spans="5:20" x14ac:dyDescent="0.25">
      <c r="E244" t="s">
        <v>503</v>
      </c>
      <c r="T244">
        <v>266</v>
      </c>
    </row>
    <row r="245" spans="5:20" x14ac:dyDescent="0.25">
      <c r="E245" t="s">
        <v>504</v>
      </c>
      <c r="T245">
        <v>267</v>
      </c>
    </row>
    <row r="246" spans="5:20" x14ac:dyDescent="0.25">
      <c r="E246" t="s">
        <v>505</v>
      </c>
      <c r="T246">
        <v>268</v>
      </c>
    </row>
    <row r="247" spans="5:20" x14ac:dyDescent="0.25">
      <c r="E247" t="s">
        <v>506</v>
      </c>
      <c r="T247">
        <v>270</v>
      </c>
    </row>
    <row r="248" spans="5:20" x14ac:dyDescent="0.25">
      <c r="E248" t="s">
        <v>507</v>
      </c>
      <c r="T248">
        <v>271</v>
      </c>
    </row>
    <row r="249" spans="5:20" x14ac:dyDescent="0.25">
      <c r="E249" t="s">
        <v>508</v>
      </c>
      <c r="T249">
        <v>272</v>
      </c>
    </row>
    <row r="250" spans="5:20" x14ac:dyDescent="0.25">
      <c r="E250" t="s">
        <v>509</v>
      </c>
      <c r="T250">
        <v>273</v>
      </c>
    </row>
    <row r="251" spans="5:20" x14ac:dyDescent="0.25">
      <c r="E251" t="s">
        <v>510</v>
      </c>
      <c r="T251">
        <v>274</v>
      </c>
    </row>
    <row r="252" spans="5:20" x14ac:dyDescent="0.25">
      <c r="E252" t="s">
        <v>511</v>
      </c>
      <c r="T252">
        <v>275</v>
      </c>
    </row>
    <row r="253" spans="5:20" x14ac:dyDescent="0.25">
      <c r="E253" t="s">
        <v>512</v>
      </c>
      <c r="T253">
        <v>276</v>
      </c>
    </row>
    <row r="254" spans="5:20" x14ac:dyDescent="0.25">
      <c r="E254" t="s">
        <v>513</v>
      </c>
      <c r="T254">
        <v>277</v>
      </c>
    </row>
    <row r="255" spans="5:20" x14ac:dyDescent="0.25">
      <c r="E255" t="s">
        <v>514</v>
      </c>
      <c r="T255">
        <v>278</v>
      </c>
    </row>
    <row r="256" spans="5:20" x14ac:dyDescent="0.25">
      <c r="E256" t="s">
        <v>515</v>
      </c>
      <c r="T256">
        <v>279</v>
      </c>
    </row>
    <row r="257" spans="5:20" x14ac:dyDescent="0.25">
      <c r="E257" t="s">
        <v>516</v>
      </c>
      <c r="T257">
        <v>280</v>
      </c>
    </row>
    <row r="258" spans="5:20" x14ac:dyDescent="0.25">
      <c r="E258" t="s">
        <v>517</v>
      </c>
      <c r="T258">
        <v>281</v>
      </c>
    </row>
    <row r="259" spans="5:20" x14ac:dyDescent="0.25">
      <c r="E259" t="s">
        <v>518</v>
      </c>
      <c r="T259">
        <v>283</v>
      </c>
    </row>
    <row r="260" spans="5:20" x14ac:dyDescent="0.25">
      <c r="E260" t="s">
        <v>519</v>
      </c>
      <c r="T260">
        <v>284</v>
      </c>
    </row>
    <row r="261" spans="5:20" x14ac:dyDescent="0.25">
      <c r="E261" t="s">
        <v>520</v>
      </c>
      <c r="T261">
        <v>285</v>
      </c>
    </row>
    <row r="262" spans="5:20" x14ac:dyDescent="0.25">
      <c r="E262" t="s">
        <v>521</v>
      </c>
      <c r="T262">
        <v>286</v>
      </c>
    </row>
    <row r="263" spans="5:20" x14ac:dyDescent="0.25">
      <c r="E263" t="s">
        <v>522</v>
      </c>
      <c r="T263">
        <v>287</v>
      </c>
    </row>
    <row r="264" spans="5:20" x14ac:dyDescent="0.25">
      <c r="E264" t="s">
        <v>523</v>
      </c>
      <c r="T264">
        <v>288</v>
      </c>
    </row>
    <row r="265" spans="5:20" x14ac:dyDescent="0.25">
      <c r="E265" t="s">
        <v>524</v>
      </c>
      <c r="T265">
        <v>289</v>
      </c>
    </row>
    <row r="266" spans="5:20" x14ac:dyDescent="0.25">
      <c r="E266" t="s">
        <v>525</v>
      </c>
      <c r="T266">
        <v>291</v>
      </c>
    </row>
    <row r="267" spans="5:20" x14ac:dyDescent="0.25">
      <c r="E267" t="s">
        <v>526</v>
      </c>
      <c r="T267">
        <v>292</v>
      </c>
    </row>
    <row r="268" spans="5:20" x14ac:dyDescent="0.25">
      <c r="E268" t="s">
        <v>527</v>
      </c>
      <c r="T268">
        <v>293</v>
      </c>
    </row>
    <row r="269" spans="5:20" x14ac:dyDescent="0.25">
      <c r="E269" t="s">
        <v>528</v>
      </c>
      <c r="T269">
        <v>294</v>
      </c>
    </row>
    <row r="270" spans="5:20" x14ac:dyDescent="0.25">
      <c r="E270" t="s">
        <v>529</v>
      </c>
      <c r="T270">
        <v>295</v>
      </c>
    </row>
    <row r="271" spans="5:20" x14ac:dyDescent="0.25">
      <c r="E271" t="s">
        <v>530</v>
      </c>
      <c r="T271">
        <v>296</v>
      </c>
    </row>
    <row r="272" spans="5:20" x14ac:dyDescent="0.25">
      <c r="E272" t="s">
        <v>531</v>
      </c>
      <c r="T272">
        <v>297</v>
      </c>
    </row>
    <row r="273" spans="5:20" x14ac:dyDescent="0.25">
      <c r="E273" t="s">
        <v>532</v>
      </c>
      <c r="T273">
        <v>298</v>
      </c>
    </row>
    <row r="274" spans="5:20" x14ac:dyDescent="0.25">
      <c r="E274" t="s">
        <v>533</v>
      </c>
      <c r="T274">
        <v>299</v>
      </c>
    </row>
    <row r="275" spans="5:20" x14ac:dyDescent="0.25">
      <c r="E275" t="s">
        <v>534</v>
      </c>
      <c r="T275">
        <v>300</v>
      </c>
    </row>
    <row r="276" spans="5:20" x14ac:dyDescent="0.25">
      <c r="E276" t="s">
        <v>535</v>
      </c>
      <c r="T276">
        <v>301</v>
      </c>
    </row>
    <row r="277" spans="5:20" x14ac:dyDescent="0.25">
      <c r="E277" t="s">
        <v>536</v>
      </c>
      <c r="T277">
        <v>304</v>
      </c>
    </row>
    <row r="278" spans="5:20" x14ac:dyDescent="0.25">
      <c r="E278" t="s">
        <v>537</v>
      </c>
      <c r="T278">
        <v>305</v>
      </c>
    </row>
    <row r="279" spans="5:20" x14ac:dyDescent="0.25">
      <c r="E279" t="s">
        <v>538</v>
      </c>
      <c r="T279">
        <v>306</v>
      </c>
    </row>
    <row r="280" spans="5:20" x14ac:dyDescent="0.25">
      <c r="E280" t="s">
        <v>539</v>
      </c>
      <c r="T280">
        <v>308</v>
      </c>
    </row>
    <row r="281" spans="5:20" x14ac:dyDescent="0.25">
      <c r="E281" t="s">
        <v>540</v>
      </c>
      <c r="T281">
        <v>309</v>
      </c>
    </row>
    <row r="282" spans="5:20" x14ac:dyDescent="0.25">
      <c r="E282" t="s">
        <v>541</v>
      </c>
      <c r="T282">
        <v>310</v>
      </c>
    </row>
    <row r="283" spans="5:20" x14ac:dyDescent="0.25">
      <c r="E283" t="s">
        <v>542</v>
      </c>
      <c r="T283">
        <v>311</v>
      </c>
    </row>
    <row r="284" spans="5:20" x14ac:dyDescent="0.25">
      <c r="E284" t="s">
        <v>543</v>
      </c>
      <c r="T284">
        <v>313</v>
      </c>
    </row>
    <row r="285" spans="5:20" x14ac:dyDescent="0.25">
      <c r="E285" t="s">
        <v>544</v>
      </c>
      <c r="T285">
        <v>314</v>
      </c>
    </row>
    <row r="286" spans="5:20" x14ac:dyDescent="0.25">
      <c r="E286" t="s">
        <v>545</v>
      </c>
      <c r="T286">
        <v>315</v>
      </c>
    </row>
    <row r="287" spans="5:20" x14ac:dyDescent="0.25">
      <c r="E287" t="s">
        <v>546</v>
      </c>
      <c r="T287">
        <v>316</v>
      </c>
    </row>
    <row r="288" spans="5:20" x14ac:dyDescent="0.25">
      <c r="E288" t="s">
        <v>547</v>
      </c>
      <c r="T288">
        <v>317</v>
      </c>
    </row>
    <row r="289" spans="5:20" x14ac:dyDescent="0.25">
      <c r="E289" t="s">
        <v>548</v>
      </c>
      <c r="T289">
        <v>318</v>
      </c>
    </row>
    <row r="290" spans="5:20" x14ac:dyDescent="0.25">
      <c r="E290" t="s">
        <v>549</v>
      </c>
      <c r="T290">
        <v>319</v>
      </c>
    </row>
    <row r="291" spans="5:20" x14ac:dyDescent="0.25">
      <c r="E291" t="s">
        <v>550</v>
      </c>
      <c r="T291">
        <v>320</v>
      </c>
    </row>
    <row r="292" spans="5:20" x14ac:dyDescent="0.25">
      <c r="E292" t="s">
        <v>551</v>
      </c>
      <c r="T292">
        <v>321</v>
      </c>
    </row>
    <row r="293" spans="5:20" x14ac:dyDescent="0.25">
      <c r="E293" t="s">
        <v>552</v>
      </c>
      <c r="T293">
        <v>322</v>
      </c>
    </row>
    <row r="294" spans="5:20" x14ac:dyDescent="0.25">
      <c r="E294" t="s">
        <v>553</v>
      </c>
      <c r="T294">
        <v>323</v>
      </c>
    </row>
    <row r="295" spans="5:20" x14ac:dyDescent="0.25">
      <c r="E295" t="s">
        <v>554</v>
      </c>
      <c r="T295">
        <v>324</v>
      </c>
    </row>
    <row r="296" spans="5:20" x14ac:dyDescent="0.25">
      <c r="E296" t="s">
        <v>555</v>
      </c>
      <c r="T296">
        <v>325</v>
      </c>
    </row>
    <row r="297" spans="5:20" x14ac:dyDescent="0.25">
      <c r="E297" t="s">
        <v>556</v>
      </c>
      <c r="T297">
        <v>326</v>
      </c>
    </row>
    <row r="298" spans="5:20" x14ac:dyDescent="0.25">
      <c r="E298" t="s">
        <v>557</v>
      </c>
      <c r="T298">
        <v>327</v>
      </c>
    </row>
    <row r="299" spans="5:20" x14ac:dyDescent="0.25">
      <c r="E299" t="s">
        <v>558</v>
      </c>
      <c r="T299">
        <v>328</v>
      </c>
    </row>
    <row r="300" spans="5:20" x14ac:dyDescent="0.25">
      <c r="E300" t="s">
        <v>559</v>
      </c>
      <c r="T300">
        <v>329</v>
      </c>
    </row>
    <row r="301" spans="5:20" x14ac:dyDescent="0.25">
      <c r="E301" t="s">
        <v>560</v>
      </c>
      <c r="T301">
        <v>330</v>
      </c>
    </row>
    <row r="302" spans="5:20" x14ac:dyDescent="0.25">
      <c r="E302" t="s">
        <v>561</v>
      </c>
      <c r="T302">
        <v>331</v>
      </c>
    </row>
    <row r="303" spans="5:20" x14ac:dyDescent="0.25">
      <c r="E303" t="s">
        <v>562</v>
      </c>
      <c r="T303">
        <v>332</v>
      </c>
    </row>
    <row r="304" spans="5:20" x14ac:dyDescent="0.25">
      <c r="E304" t="s">
        <v>563</v>
      </c>
      <c r="T304">
        <v>333</v>
      </c>
    </row>
    <row r="305" spans="5:20" x14ac:dyDescent="0.25">
      <c r="E305" t="s">
        <v>564</v>
      </c>
      <c r="T305">
        <v>334</v>
      </c>
    </row>
    <row r="306" spans="5:20" x14ac:dyDescent="0.25">
      <c r="E306" t="s">
        <v>565</v>
      </c>
      <c r="T306">
        <v>335</v>
      </c>
    </row>
    <row r="307" spans="5:20" x14ac:dyDescent="0.25">
      <c r="E307" t="s">
        <v>566</v>
      </c>
      <c r="T307">
        <v>336</v>
      </c>
    </row>
    <row r="308" spans="5:20" x14ac:dyDescent="0.25">
      <c r="E308" t="s">
        <v>567</v>
      </c>
      <c r="T308">
        <v>337</v>
      </c>
    </row>
    <row r="309" spans="5:20" x14ac:dyDescent="0.25">
      <c r="E309" t="s">
        <v>568</v>
      </c>
      <c r="T309">
        <v>338</v>
      </c>
    </row>
    <row r="310" spans="5:20" x14ac:dyDescent="0.25">
      <c r="E310" t="s">
        <v>569</v>
      </c>
      <c r="T310">
        <v>339</v>
      </c>
    </row>
    <row r="311" spans="5:20" x14ac:dyDescent="0.25">
      <c r="E311" t="s">
        <v>570</v>
      </c>
      <c r="T311">
        <v>340</v>
      </c>
    </row>
    <row r="312" spans="5:20" x14ac:dyDescent="0.25">
      <c r="E312" t="s">
        <v>571</v>
      </c>
      <c r="T312">
        <v>341</v>
      </c>
    </row>
    <row r="313" spans="5:20" x14ac:dyDescent="0.25">
      <c r="E313" t="s">
        <v>572</v>
      </c>
      <c r="T313">
        <v>342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Nextt</vt:lpstr>
      <vt:lpstr>Cadastro de Produtos</vt:lpstr>
      <vt:lpstr>Cadastro de Pedidos</vt:lpstr>
      <vt:lpstr>Cadastro de Marcas</vt:lpstr>
      <vt:lpstr>Dados Consolidados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stk</dc:creator>
  <cp:lastModifiedBy>stk</cp:lastModifiedBy>
  <dcterms:created xsi:type="dcterms:W3CDTF">2025-03-11T18:40:02Z</dcterms:created>
  <dcterms:modified xsi:type="dcterms:W3CDTF">2025-03-13T21:33:47Z</dcterms:modified>
</cp:coreProperties>
</file>