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stk\Desktop\"/>
    </mc:Choice>
  </mc:AlternateContent>
  <xr:revisionPtr revIDLastSave="0" documentId="13_ncr:1_{A3B70BCC-F08D-4214-99C4-C6537CA300A1}" xr6:coauthVersionLast="47" xr6:coauthVersionMax="47" xr10:uidLastSave="{00000000-0000-0000-0000-000000000000}"/>
  <bookViews>
    <workbookView xWindow="-120" yWindow="-120" windowWidth="20730" windowHeight="11040" tabRatio="719" activeTab="1" xr2:uid="{00000000-000D-0000-FFFF-FFFF00000000}"/>
  </bookViews>
  <sheets>
    <sheet name="Nextt" sheetId="1" r:id="rId1"/>
    <sheet name="Cadastro de Produtos" sheetId="2" r:id="rId2"/>
    <sheet name="Cadastro de Pedidos" sheetId="3" r:id="rId3"/>
    <sheet name="Cadastro de Marcas" sheetId="4" r:id="rId4"/>
    <sheet name="Dados Consolidados" sheetId="5" r:id="rId5"/>
  </sheets>
  <definedNames>
    <definedName name="Seção1">#REF!</definedName>
    <definedName name="Seção2">#REF!</definedName>
  </definedNames>
  <calcPr calcId="181029"/>
</workbook>
</file>

<file path=xl/calcChain.xml><?xml version="1.0" encoding="utf-8"?>
<calcChain xmlns="http://schemas.openxmlformats.org/spreadsheetml/2006/main">
  <c r="Y8" i="2" l="1"/>
  <c r="Z8" i="2"/>
  <c r="AA8" i="2"/>
  <c r="AB8" i="2"/>
  <c r="AC8" i="2"/>
  <c r="AD8" i="2"/>
  <c r="AE8" i="2"/>
  <c r="Y9" i="2"/>
  <c r="Z9" i="2"/>
  <c r="AA9" i="2"/>
  <c r="AB9" i="2"/>
  <c r="AC9" i="2"/>
  <c r="AD9" i="2"/>
  <c r="AE9" i="2"/>
  <c r="Y10" i="2"/>
  <c r="Z10" i="2"/>
  <c r="AA10" i="2"/>
  <c r="AB10" i="2"/>
  <c r="AC10" i="2"/>
  <c r="AD10" i="2"/>
  <c r="AE10" i="2"/>
  <c r="Y11" i="2"/>
  <c r="Z11" i="2"/>
  <c r="AA11" i="2"/>
  <c r="AB11" i="2"/>
  <c r="AC11" i="2"/>
  <c r="AD11" i="2"/>
  <c r="AE11" i="2"/>
  <c r="Y12" i="2"/>
  <c r="Z12" i="2"/>
  <c r="AA12" i="2"/>
  <c r="AB12" i="2"/>
  <c r="AC12" i="2"/>
  <c r="AD12" i="2"/>
  <c r="AE12" i="2"/>
  <c r="Y13" i="2"/>
  <c r="Z13" i="2"/>
  <c r="AA13" i="2"/>
  <c r="AB13" i="2"/>
  <c r="AC13" i="2"/>
  <c r="AD13" i="2"/>
  <c r="AE13" i="2"/>
  <c r="Y14" i="2"/>
  <c r="Z14" i="2"/>
  <c r="AA14" i="2"/>
  <c r="AB14" i="2"/>
  <c r="AC14" i="2"/>
  <c r="AD14" i="2"/>
  <c r="AE14" i="2"/>
  <c r="Y15" i="2"/>
  <c r="Z15" i="2"/>
  <c r="AA15" i="2"/>
  <c r="AB15" i="2"/>
  <c r="AC15" i="2"/>
  <c r="AD15" i="2"/>
  <c r="AE15" i="2"/>
  <c r="Y16" i="2"/>
  <c r="Z16" i="2"/>
  <c r="AA16" i="2"/>
  <c r="AB16" i="2"/>
  <c r="AC16" i="2"/>
  <c r="AD16" i="2"/>
  <c r="AE16" i="2"/>
  <c r="Y17" i="2"/>
  <c r="Z17" i="2"/>
  <c r="AA17" i="2"/>
  <c r="AB17" i="2"/>
  <c r="AC17" i="2"/>
  <c r="AD17" i="2"/>
  <c r="AE17" i="2"/>
  <c r="Y18" i="2"/>
  <c r="Z18" i="2"/>
  <c r="AA18" i="2"/>
  <c r="AB18" i="2"/>
  <c r="AC18" i="2"/>
  <c r="AD18" i="2"/>
  <c r="AE18" i="2"/>
  <c r="Y19" i="2"/>
  <c r="Z19" i="2"/>
  <c r="AA19" i="2"/>
  <c r="AB19" i="2"/>
  <c r="AC19" i="2"/>
  <c r="AD19" i="2"/>
  <c r="AE19" i="2"/>
  <c r="Y20" i="2"/>
  <c r="Z20" i="2"/>
  <c r="AA20" i="2"/>
  <c r="AB20" i="2"/>
  <c r="AC20" i="2"/>
  <c r="AD20" i="2"/>
  <c r="AE20" i="2"/>
  <c r="Y21" i="2"/>
  <c r="Z21" i="2"/>
  <c r="AA21" i="2"/>
  <c r="AB21" i="2"/>
  <c r="AC21" i="2"/>
  <c r="AD21" i="2"/>
  <c r="AE21" i="2"/>
  <c r="Y22" i="2"/>
  <c r="Z22" i="2"/>
  <c r="AA22" i="2"/>
  <c r="AB22" i="2"/>
  <c r="AC22" i="2"/>
  <c r="AD22" i="2"/>
  <c r="AE22" i="2"/>
  <c r="Y23" i="2"/>
  <c r="Z23" i="2"/>
  <c r="AA23" i="2"/>
  <c r="AB23" i="2"/>
  <c r="AC23" i="2"/>
  <c r="AD23" i="2"/>
  <c r="AE23" i="2"/>
  <c r="Y24" i="2"/>
  <c r="Z24" i="2"/>
  <c r="AA24" i="2"/>
  <c r="AB24" i="2"/>
  <c r="AC24" i="2"/>
  <c r="AD24" i="2"/>
  <c r="AE24" i="2"/>
  <c r="Y25" i="2"/>
  <c r="Z25" i="2"/>
  <c r="AA25" i="2"/>
  <c r="AB25" i="2"/>
  <c r="AC25" i="2"/>
  <c r="AD25" i="2"/>
  <c r="AE25" i="2"/>
  <c r="Y26" i="2"/>
  <c r="Z26" i="2"/>
  <c r="AA26" i="2"/>
  <c r="AB26" i="2"/>
  <c r="AC26" i="2"/>
  <c r="AD26" i="2"/>
  <c r="AE26" i="2"/>
  <c r="Y27" i="2"/>
  <c r="Z27" i="2"/>
  <c r="AA27" i="2"/>
  <c r="AB27" i="2"/>
  <c r="AC27" i="2"/>
  <c r="AD27" i="2"/>
  <c r="AE27" i="2"/>
  <c r="Y28" i="2"/>
  <c r="Z28" i="2"/>
  <c r="AA28" i="2"/>
  <c r="AB28" i="2"/>
  <c r="AC28" i="2"/>
  <c r="AD28" i="2"/>
  <c r="AE28" i="2"/>
  <c r="Y29" i="2"/>
  <c r="Z29" i="2"/>
  <c r="AA29" i="2"/>
  <c r="AB29" i="2"/>
  <c r="AC29" i="2"/>
  <c r="AD29" i="2"/>
  <c r="AE29" i="2"/>
  <c r="Y30" i="2"/>
  <c r="Z30" i="2"/>
  <c r="AA30" i="2"/>
  <c r="AB30" i="2"/>
  <c r="AC30" i="2"/>
  <c r="AD30" i="2"/>
  <c r="AE30" i="2"/>
  <c r="Y31" i="2"/>
  <c r="Z31" i="2"/>
  <c r="AA31" i="2"/>
  <c r="AB31" i="2"/>
  <c r="AC31" i="2"/>
  <c r="AD31" i="2"/>
  <c r="AE31" i="2"/>
  <c r="Y32" i="2"/>
  <c r="Z32" i="2"/>
  <c r="AA32" i="2"/>
  <c r="AB32" i="2"/>
  <c r="AC32" i="2"/>
  <c r="AD32" i="2"/>
  <c r="AE32" i="2"/>
  <c r="Y33" i="2"/>
  <c r="Z33" i="2"/>
  <c r="AA33" i="2"/>
  <c r="AB33" i="2"/>
  <c r="AC33" i="2"/>
  <c r="AD33" i="2"/>
  <c r="AE33" i="2"/>
  <c r="Y34" i="2"/>
  <c r="Z34" i="2"/>
  <c r="AA34" i="2"/>
  <c r="AB34" i="2"/>
  <c r="AC34" i="2"/>
  <c r="AD34" i="2"/>
  <c r="AE34" i="2"/>
  <c r="Y35" i="2"/>
  <c r="Z35" i="2"/>
  <c r="AA35" i="2"/>
  <c r="AB35" i="2"/>
  <c r="AC35" i="2"/>
  <c r="AD35" i="2"/>
  <c r="AE35" i="2"/>
  <c r="Y36" i="2"/>
  <c r="Z36" i="2"/>
  <c r="AA36" i="2"/>
  <c r="AB36" i="2"/>
  <c r="AC36" i="2"/>
  <c r="AD36" i="2"/>
  <c r="AE36" i="2"/>
  <c r="Y37" i="2"/>
  <c r="Z37" i="2"/>
  <c r="AA37" i="2"/>
  <c r="AB37" i="2"/>
  <c r="AC37" i="2"/>
  <c r="AD37" i="2"/>
  <c r="AE37" i="2"/>
  <c r="Y38" i="2"/>
  <c r="Z38" i="2"/>
  <c r="AA38" i="2"/>
  <c r="AB38" i="2"/>
  <c r="AC38" i="2"/>
  <c r="AD38" i="2"/>
  <c r="AE38" i="2"/>
  <c r="Y39" i="2"/>
  <c r="Z39" i="2"/>
  <c r="AA39" i="2"/>
  <c r="AB39" i="2"/>
  <c r="AC39" i="2"/>
  <c r="AD39" i="2"/>
  <c r="AE39" i="2"/>
  <c r="Y40" i="2"/>
  <c r="Z40" i="2"/>
  <c r="AA40" i="2"/>
  <c r="AB40" i="2"/>
  <c r="AC40" i="2"/>
  <c r="AD40" i="2"/>
  <c r="AE40" i="2"/>
  <c r="Y41" i="2"/>
  <c r="Z41" i="2"/>
  <c r="AA41" i="2"/>
  <c r="AB41" i="2"/>
  <c r="AC41" i="2"/>
  <c r="AD41" i="2"/>
  <c r="AE41" i="2"/>
  <c r="Y42" i="2"/>
  <c r="Z42" i="2"/>
  <c r="AA42" i="2"/>
  <c r="AB42" i="2"/>
  <c r="AC42" i="2"/>
  <c r="AD42" i="2"/>
  <c r="AE42" i="2"/>
  <c r="Y43" i="2"/>
  <c r="Z43" i="2"/>
  <c r="AA43" i="2"/>
  <c r="AB43" i="2"/>
  <c r="AC43" i="2"/>
  <c r="AD43" i="2"/>
  <c r="AE43" i="2"/>
  <c r="Y44" i="2"/>
  <c r="Z44" i="2"/>
  <c r="AA44" i="2"/>
  <c r="AB44" i="2"/>
  <c r="AC44" i="2"/>
  <c r="AD44" i="2"/>
  <c r="AE44" i="2"/>
  <c r="Y45" i="2"/>
  <c r="Z45" i="2"/>
  <c r="AA45" i="2"/>
  <c r="AB45" i="2"/>
  <c r="AC45" i="2"/>
  <c r="AD45" i="2"/>
  <c r="AE45" i="2"/>
  <c r="Y46" i="2"/>
  <c r="Z46" i="2"/>
  <c r="AA46" i="2"/>
  <c r="AB46" i="2"/>
  <c r="AC46" i="2"/>
  <c r="AD46" i="2"/>
  <c r="AE46" i="2"/>
  <c r="Y47" i="2"/>
  <c r="Z47" i="2"/>
  <c r="AA47" i="2"/>
  <c r="AB47" i="2"/>
  <c r="AC47" i="2"/>
  <c r="AD47" i="2"/>
  <c r="AE47" i="2"/>
  <c r="Y48" i="2"/>
  <c r="Z48" i="2"/>
  <c r="AA48" i="2"/>
  <c r="AB48" i="2"/>
  <c r="AC48" i="2"/>
  <c r="AD48" i="2"/>
  <c r="AE48" i="2"/>
  <c r="Y49" i="2"/>
  <c r="Z49" i="2"/>
  <c r="AA49" i="2"/>
  <c r="AB49" i="2"/>
  <c r="AC49" i="2"/>
  <c r="AD49" i="2"/>
  <c r="AE49" i="2"/>
  <c r="Y50" i="2"/>
  <c r="Z50" i="2"/>
  <c r="AA50" i="2"/>
  <c r="AB50" i="2"/>
  <c r="AC50" i="2"/>
  <c r="AD50" i="2"/>
  <c r="AE50" i="2"/>
  <c r="Y51" i="2"/>
  <c r="Z51" i="2"/>
  <c r="AA51" i="2"/>
  <c r="AB51" i="2"/>
  <c r="AC51" i="2"/>
  <c r="AD51" i="2"/>
  <c r="AE51" i="2"/>
  <c r="Y52" i="2"/>
  <c r="Z52" i="2"/>
  <c r="AA52" i="2"/>
  <c r="AB52" i="2"/>
  <c r="AC52" i="2"/>
  <c r="AD52" i="2"/>
  <c r="AE52" i="2"/>
  <c r="Y53" i="2"/>
  <c r="Z53" i="2"/>
  <c r="AA53" i="2"/>
  <c r="AB53" i="2"/>
  <c r="AC53" i="2"/>
  <c r="AD53" i="2"/>
  <c r="AE53" i="2"/>
  <c r="Y54" i="2"/>
  <c r="Z54" i="2"/>
  <c r="AA54" i="2"/>
  <c r="AB54" i="2"/>
  <c r="AC54" i="2"/>
  <c r="AD54" i="2"/>
  <c r="AE54" i="2"/>
  <c r="Y55" i="2"/>
  <c r="Z55" i="2"/>
  <c r="AA55" i="2"/>
  <c r="AB55" i="2"/>
  <c r="AC55" i="2"/>
  <c r="AD55" i="2"/>
  <c r="AE55" i="2"/>
  <c r="Y56" i="2"/>
  <c r="Z56" i="2"/>
  <c r="AA56" i="2"/>
  <c r="AB56" i="2"/>
  <c r="AC56" i="2"/>
  <c r="AD56" i="2"/>
  <c r="AE56" i="2"/>
  <c r="Y57" i="2"/>
  <c r="Z57" i="2"/>
  <c r="AA57" i="2"/>
  <c r="AB57" i="2"/>
  <c r="AC57" i="2"/>
  <c r="AD57" i="2"/>
  <c r="AE57" i="2"/>
  <c r="Y58" i="2"/>
  <c r="Z58" i="2"/>
  <c r="AA58" i="2"/>
  <c r="AB58" i="2"/>
  <c r="AC58" i="2"/>
  <c r="AD58" i="2"/>
  <c r="AE58" i="2"/>
  <c r="Y59" i="2"/>
  <c r="Z59" i="2"/>
  <c r="AA59" i="2"/>
  <c r="AB59" i="2"/>
  <c r="AC59" i="2"/>
  <c r="AD59" i="2"/>
  <c r="AE59" i="2"/>
  <c r="Y60" i="2"/>
  <c r="Z60" i="2"/>
  <c r="AA60" i="2"/>
  <c r="AB60" i="2"/>
  <c r="AC60" i="2"/>
  <c r="AD60" i="2"/>
  <c r="AE60" i="2"/>
  <c r="Y61" i="2"/>
  <c r="Z61" i="2"/>
  <c r="AA61" i="2"/>
  <c r="AB61" i="2"/>
  <c r="AC61" i="2"/>
  <c r="AD61" i="2"/>
  <c r="AE61" i="2"/>
  <c r="Y62" i="2"/>
  <c r="Z62" i="2"/>
  <c r="AA62" i="2"/>
  <c r="AB62" i="2"/>
  <c r="AC62" i="2"/>
  <c r="AD62" i="2"/>
  <c r="AE62" i="2"/>
  <c r="Y63" i="2"/>
  <c r="Z63" i="2"/>
  <c r="AA63" i="2"/>
  <c r="AB63" i="2"/>
  <c r="AC63" i="2"/>
  <c r="AD63" i="2"/>
  <c r="AE63" i="2"/>
  <c r="Y64" i="2"/>
  <c r="Z64" i="2"/>
  <c r="AA64" i="2"/>
  <c r="AB64" i="2"/>
  <c r="AC64" i="2"/>
  <c r="AD64" i="2"/>
  <c r="AE64" i="2"/>
  <c r="Y65" i="2"/>
  <c r="Z65" i="2"/>
  <c r="AA65" i="2"/>
  <c r="AB65" i="2"/>
  <c r="AC65" i="2"/>
  <c r="AD65" i="2"/>
  <c r="AE65" i="2"/>
  <c r="Y66" i="2"/>
  <c r="Z66" i="2"/>
  <c r="AA66" i="2"/>
  <c r="AB66" i="2"/>
  <c r="AC66" i="2"/>
  <c r="AD66" i="2"/>
  <c r="AE66" i="2"/>
  <c r="Y67" i="2"/>
  <c r="Z67" i="2"/>
  <c r="AA67" i="2"/>
  <c r="AB67" i="2"/>
  <c r="AC67" i="2"/>
  <c r="AD67" i="2"/>
  <c r="AE67" i="2"/>
  <c r="Y68" i="2"/>
  <c r="Z68" i="2"/>
  <c r="AA68" i="2"/>
  <c r="AB68" i="2"/>
  <c r="AC68" i="2"/>
  <c r="AD68" i="2"/>
  <c r="AE68" i="2"/>
  <c r="Y69" i="2"/>
  <c r="Z69" i="2"/>
  <c r="AA69" i="2"/>
  <c r="AB69" i="2"/>
  <c r="AC69" i="2"/>
  <c r="AD69" i="2"/>
  <c r="AE69" i="2"/>
  <c r="Y70" i="2"/>
  <c r="Z70" i="2"/>
  <c r="AA70" i="2"/>
  <c r="AB70" i="2"/>
  <c r="AC70" i="2"/>
  <c r="AD70" i="2"/>
  <c r="AE70" i="2"/>
  <c r="Y71" i="2"/>
  <c r="Z71" i="2"/>
  <c r="AA71" i="2"/>
  <c r="AB71" i="2"/>
  <c r="AC71" i="2"/>
  <c r="AD71" i="2"/>
  <c r="AE71" i="2"/>
  <c r="Y72" i="2"/>
  <c r="Z72" i="2"/>
  <c r="AA72" i="2"/>
  <c r="AB72" i="2"/>
  <c r="AC72" i="2"/>
  <c r="AD72" i="2"/>
  <c r="AE72" i="2"/>
  <c r="Y73" i="2"/>
  <c r="Z73" i="2"/>
  <c r="AA73" i="2"/>
  <c r="AB73" i="2"/>
  <c r="AC73" i="2"/>
  <c r="AD73" i="2"/>
  <c r="AE73" i="2"/>
  <c r="Y74" i="2"/>
  <c r="Z74" i="2"/>
  <c r="AA74" i="2"/>
  <c r="AB74" i="2"/>
  <c r="AC74" i="2"/>
  <c r="AD74" i="2"/>
  <c r="AE74" i="2"/>
  <c r="Y75" i="2"/>
  <c r="Z75" i="2"/>
  <c r="AA75" i="2"/>
  <c r="AB75" i="2"/>
  <c r="AC75" i="2"/>
  <c r="AD75" i="2"/>
  <c r="AE75" i="2"/>
  <c r="Y76" i="2"/>
  <c r="Z76" i="2"/>
  <c r="AA76" i="2"/>
  <c r="AB76" i="2"/>
  <c r="AC76" i="2"/>
  <c r="AD76" i="2"/>
  <c r="AE76" i="2"/>
  <c r="Y77" i="2"/>
  <c r="Z77" i="2"/>
  <c r="AA77" i="2"/>
  <c r="AB77" i="2"/>
  <c r="AC77" i="2"/>
  <c r="AD77" i="2"/>
  <c r="AE77" i="2"/>
  <c r="Y78" i="2"/>
  <c r="Z78" i="2"/>
  <c r="AA78" i="2"/>
  <c r="AB78" i="2"/>
  <c r="AC78" i="2"/>
  <c r="AD78" i="2"/>
  <c r="AE78" i="2"/>
  <c r="Y79" i="2"/>
  <c r="Z79" i="2"/>
  <c r="AA79" i="2"/>
  <c r="AB79" i="2"/>
  <c r="AC79" i="2"/>
  <c r="AD79" i="2"/>
  <c r="AE79" i="2"/>
  <c r="Y80" i="2"/>
  <c r="Z80" i="2"/>
  <c r="AA80" i="2"/>
  <c r="AB80" i="2"/>
  <c r="AC80" i="2"/>
  <c r="AD80" i="2"/>
  <c r="AE80" i="2"/>
  <c r="Y81" i="2"/>
  <c r="Z81" i="2"/>
  <c r="AA81" i="2"/>
  <c r="AB81" i="2"/>
  <c r="AC81" i="2"/>
  <c r="AD81" i="2"/>
  <c r="AE81" i="2"/>
  <c r="Y82" i="2"/>
  <c r="Z82" i="2"/>
  <c r="AA82" i="2"/>
  <c r="AB82" i="2"/>
  <c r="AC82" i="2"/>
  <c r="AD82" i="2"/>
  <c r="AE82" i="2"/>
  <c r="Y83" i="2"/>
  <c r="Z83" i="2"/>
  <c r="AA83" i="2"/>
  <c r="AB83" i="2"/>
  <c r="AC83" i="2"/>
  <c r="AD83" i="2"/>
  <c r="AE83" i="2"/>
  <c r="Y84" i="2"/>
  <c r="Z84" i="2"/>
  <c r="AA84" i="2"/>
  <c r="AB84" i="2"/>
  <c r="AC84" i="2"/>
  <c r="AD84" i="2"/>
  <c r="AE84" i="2"/>
  <c r="Y85" i="2"/>
  <c r="Z85" i="2"/>
  <c r="AA85" i="2"/>
  <c r="AB85" i="2"/>
  <c r="AC85" i="2"/>
  <c r="AD85" i="2"/>
  <c r="AE85" i="2"/>
  <c r="Y86" i="2"/>
  <c r="Z86" i="2"/>
  <c r="AA86" i="2"/>
  <c r="AB86" i="2"/>
  <c r="AC86" i="2"/>
  <c r="AD86" i="2"/>
  <c r="AE86" i="2"/>
  <c r="Y87" i="2"/>
  <c r="Z87" i="2"/>
  <c r="AA87" i="2"/>
  <c r="AB87" i="2"/>
  <c r="AC87" i="2"/>
  <c r="AD87" i="2"/>
  <c r="AE87" i="2"/>
  <c r="Y88" i="2"/>
  <c r="Z88" i="2"/>
  <c r="AA88" i="2"/>
  <c r="AB88" i="2"/>
  <c r="AC88" i="2"/>
  <c r="AD88" i="2"/>
  <c r="AE88" i="2"/>
  <c r="Y89" i="2"/>
  <c r="Z89" i="2"/>
  <c r="AA89" i="2"/>
  <c r="AB89" i="2"/>
  <c r="AC89" i="2"/>
  <c r="AD89" i="2"/>
  <c r="AE89" i="2"/>
  <c r="Y90" i="2"/>
  <c r="Z90" i="2"/>
  <c r="AA90" i="2"/>
  <c r="AB90" i="2"/>
  <c r="AC90" i="2"/>
  <c r="AD90" i="2"/>
  <c r="AE90" i="2"/>
  <c r="Y91" i="2"/>
  <c r="Z91" i="2"/>
  <c r="AA91" i="2"/>
  <c r="AB91" i="2"/>
  <c r="AC91" i="2"/>
  <c r="AD91" i="2"/>
  <c r="AE91" i="2"/>
  <c r="Y92" i="2"/>
  <c r="Z92" i="2"/>
  <c r="AA92" i="2"/>
  <c r="AB92" i="2"/>
  <c r="AC92" i="2"/>
  <c r="AD92" i="2"/>
  <c r="AE92" i="2"/>
  <c r="Y93" i="2"/>
  <c r="Z93" i="2"/>
  <c r="AA93" i="2"/>
  <c r="AB93" i="2"/>
  <c r="AC93" i="2"/>
  <c r="AD93" i="2"/>
  <c r="AE93" i="2"/>
  <c r="Y94" i="2"/>
  <c r="Z94" i="2"/>
  <c r="AA94" i="2"/>
  <c r="AB94" i="2"/>
  <c r="AC94" i="2"/>
  <c r="AD94" i="2"/>
  <c r="AE94" i="2"/>
  <c r="Y95" i="2"/>
  <c r="Z95" i="2"/>
  <c r="AA95" i="2"/>
  <c r="AB95" i="2"/>
  <c r="AC95" i="2"/>
  <c r="AD95" i="2"/>
  <c r="AE95" i="2"/>
  <c r="Y96" i="2"/>
  <c r="Z96" i="2"/>
  <c r="AA96" i="2"/>
  <c r="AB96" i="2"/>
  <c r="AC96" i="2"/>
  <c r="AD96" i="2"/>
  <c r="AE96" i="2"/>
  <c r="Y97" i="2"/>
  <c r="Z97" i="2"/>
  <c r="AA97" i="2"/>
  <c r="AB97" i="2"/>
  <c r="AC97" i="2"/>
  <c r="AD97" i="2"/>
  <c r="AE97" i="2"/>
  <c r="Y98" i="2"/>
  <c r="Z98" i="2"/>
  <c r="AA98" i="2"/>
  <c r="AB98" i="2"/>
  <c r="AC98" i="2"/>
  <c r="AD98" i="2"/>
  <c r="AE98" i="2"/>
  <c r="Y99" i="2"/>
  <c r="Z99" i="2"/>
  <c r="AA99" i="2"/>
  <c r="AB99" i="2"/>
  <c r="AC99" i="2"/>
  <c r="AD99" i="2"/>
  <c r="AE99" i="2"/>
  <c r="Y100" i="2"/>
  <c r="Z100" i="2"/>
  <c r="AA100" i="2"/>
  <c r="AB100" i="2"/>
  <c r="AC100" i="2"/>
  <c r="AD100" i="2"/>
  <c r="AE100" i="2"/>
  <c r="Y101" i="2"/>
  <c r="Z101" i="2"/>
  <c r="AA101" i="2"/>
  <c r="AB101" i="2"/>
  <c r="AC101" i="2"/>
  <c r="AD101" i="2"/>
  <c r="AE101" i="2"/>
  <c r="Y102" i="2"/>
  <c r="Z102" i="2"/>
  <c r="AA102" i="2"/>
  <c r="AB102" i="2"/>
  <c r="AC102" i="2"/>
  <c r="AD102" i="2"/>
  <c r="AE102" i="2"/>
  <c r="Y103" i="2"/>
  <c r="Z103" i="2"/>
  <c r="AA103" i="2"/>
  <c r="AB103" i="2"/>
  <c r="AC103" i="2"/>
  <c r="AD103" i="2"/>
  <c r="AE103" i="2"/>
  <c r="Y104" i="2"/>
  <c r="Z104" i="2"/>
  <c r="AA104" i="2"/>
  <c r="AB104" i="2"/>
  <c r="AC104" i="2"/>
  <c r="AD104" i="2"/>
  <c r="AE104" i="2"/>
  <c r="Y105" i="2"/>
  <c r="Z105" i="2"/>
  <c r="AA105" i="2"/>
  <c r="AB105" i="2"/>
  <c r="AC105" i="2"/>
  <c r="AD105" i="2"/>
  <c r="AE105" i="2"/>
  <c r="Y106" i="2"/>
  <c r="Z106" i="2"/>
  <c r="AA106" i="2"/>
  <c r="AB106" i="2"/>
  <c r="AC106" i="2"/>
  <c r="AD106" i="2"/>
  <c r="AE106" i="2"/>
  <c r="Y107" i="2"/>
  <c r="Z107" i="2"/>
  <c r="AA107" i="2"/>
  <c r="AB107" i="2"/>
  <c r="AC107" i="2"/>
  <c r="AD107" i="2"/>
  <c r="AE107" i="2"/>
  <c r="Y108" i="2"/>
  <c r="Z108" i="2"/>
  <c r="AA108" i="2"/>
  <c r="AB108" i="2"/>
  <c r="AC108" i="2"/>
  <c r="AD108" i="2"/>
  <c r="AE108" i="2"/>
  <c r="Y109" i="2"/>
  <c r="Z109" i="2"/>
  <c r="AA109" i="2"/>
  <c r="AB109" i="2"/>
  <c r="AC109" i="2"/>
  <c r="AD109" i="2"/>
  <c r="AE109" i="2"/>
  <c r="Y110" i="2"/>
  <c r="Z110" i="2"/>
  <c r="AA110" i="2"/>
  <c r="AB110" i="2"/>
  <c r="AC110" i="2"/>
  <c r="AD110" i="2"/>
  <c r="AE110" i="2"/>
  <c r="Y111" i="2"/>
  <c r="Z111" i="2"/>
  <c r="AA111" i="2"/>
  <c r="AB111" i="2"/>
  <c r="AC111" i="2"/>
  <c r="AD111" i="2"/>
  <c r="AE111" i="2"/>
  <c r="Y112" i="2"/>
  <c r="Z112" i="2"/>
  <c r="AA112" i="2"/>
  <c r="AB112" i="2"/>
  <c r="AC112" i="2"/>
  <c r="AD112" i="2"/>
  <c r="AE112" i="2"/>
  <c r="Y113" i="2"/>
  <c r="Z113" i="2"/>
  <c r="AA113" i="2"/>
  <c r="AB113" i="2"/>
  <c r="AC113" i="2"/>
  <c r="AD113" i="2"/>
  <c r="AE113" i="2"/>
  <c r="Y114" i="2"/>
  <c r="Z114" i="2"/>
  <c r="AA114" i="2"/>
  <c r="AB114" i="2"/>
  <c r="AC114" i="2"/>
  <c r="AD114" i="2"/>
  <c r="AE114" i="2"/>
  <c r="Y115" i="2"/>
  <c r="Z115" i="2"/>
  <c r="AA115" i="2"/>
  <c r="AB115" i="2"/>
  <c r="AC115" i="2"/>
  <c r="AD115" i="2"/>
  <c r="AE115" i="2"/>
  <c r="Y116" i="2"/>
  <c r="Z116" i="2"/>
  <c r="AA116" i="2"/>
  <c r="AB116" i="2"/>
  <c r="AC116" i="2"/>
  <c r="AD116" i="2"/>
  <c r="AE116" i="2"/>
  <c r="Y117" i="2"/>
  <c r="Z117" i="2"/>
  <c r="AA117" i="2"/>
  <c r="AB117" i="2"/>
  <c r="AC117" i="2"/>
  <c r="AD117" i="2"/>
  <c r="AE117" i="2"/>
  <c r="Y118" i="2"/>
  <c r="Z118" i="2"/>
  <c r="AA118" i="2"/>
  <c r="AB118" i="2"/>
  <c r="AC118" i="2"/>
  <c r="AD118" i="2"/>
  <c r="AE118" i="2"/>
  <c r="Y119" i="2"/>
  <c r="Z119" i="2"/>
  <c r="AA119" i="2"/>
  <c r="AB119" i="2"/>
  <c r="AC119" i="2"/>
  <c r="AD119" i="2"/>
  <c r="AE119" i="2"/>
  <c r="Y120" i="2"/>
  <c r="Z120" i="2"/>
  <c r="AA120" i="2"/>
  <c r="AB120" i="2"/>
  <c r="AC120" i="2"/>
  <c r="AD120" i="2"/>
  <c r="AE120" i="2"/>
  <c r="Y121" i="2"/>
  <c r="Z121" i="2"/>
  <c r="AA121" i="2"/>
  <c r="AB121" i="2"/>
  <c r="AC121" i="2"/>
  <c r="AD121" i="2"/>
  <c r="AE121" i="2"/>
  <c r="Y122" i="2"/>
  <c r="Z122" i="2"/>
  <c r="AA122" i="2"/>
  <c r="AB122" i="2"/>
  <c r="AC122" i="2"/>
  <c r="AD122" i="2"/>
  <c r="AE122" i="2"/>
  <c r="Y123" i="2"/>
  <c r="Z123" i="2"/>
  <c r="AA123" i="2"/>
  <c r="AB123" i="2"/>
  <c r="AC123" i="2"/>
  <c r="AD123" i="2"/>
  <c r="AE123" i="2"/>
  <c r="Y124" i="2"/>
  <c r="Z124" i="2"/>
  <c r="AA124" i="2"/>
  <c r="AB124" i="2"/>
  <c r="AC124" i="2"/>
  <c r="AD124" i="2"/>
  <c r="AE124" i="2"/>
  <c r="Y125" i="2"/>
  <c r="Z125" i="2"/>
  <c r="AA125" i="2"/>
  <c r="AB125" i="2"/>
  <c r="AC125" i="2"/>
  <c r="AD125" i="2"/>
  <c r="AE125" i="2"/>
  <c r="Y126" i="2"/>
  <c r="Z126" i="2"/>
  <c r="AA126" i="2"/>
  <c r="AB126" i="2"/>
  <c r="AC126" i="2"/>
  <c r="AD126" i="2"/>
  <c r="AE126" i="2"/>
  <c r="Y127" i="2"/>
  <c r="Z127" i="2"/>
  <c r="AA127" i="2"/>
  <c r="AB127" i="2"/>
  <c r="AC127" i="2"/>
  <c r="AD127" i="2"/>
  <c r="AE127" i="2"/>
  <c r="Y128" i="2"/>
  <c r="Z128" i="2"/>
  <c r="AA128" i="2"/>
  <c r="AB128" i="2"/>
  <c r="AC128" i="2"/>
  <c r="AD128" i="2"/>
  <c r="AE128" i="2"/>
  <c r="Y129" i="2"/>
  <c r="Z129" i="2"/>
  <c r="AA129" i="2"/>
  <c r="AB129" i="2"/>
  <c r="AC129" i="2"/>
  <c r="AD129" i="2"/>
  <c r="AE129" i="2"/>
  <c r="Y130" i="2"/>
  <c r="Z130" i="2"/>
  <c r="AA130" i="2"/>
  <c r="AB130" i="2"/>
  <c r="AC130" i="2"/>
  <c r="AD130" i="2"/>
  <c r="AE130" i="2"/>
  <c r="Y131" i="2"/>
  <c r="Z131" i="2"/>
  <c r="AA131" i="2"/>
  <c r="AB131" i="2"/>
  <c r="AC131" i="2"/>
  <c r="AD131" i="2"/>
  <c r="AE131" i="2"/>
  <c r="Y132" i="2"/>
  <c r="Z132" i="2"/>
  <c r="AA132" i="2"/>
  <c r="AB132" i="2"/>
  <c r="AC132" i="2"/>
  <c r="AD132" i="2"/>
  <c r="AE132" i="2"/>
  <c r="Y133" i="2"/>
  <c r="Z133" i="2"/>
  <c r="AA133" i="2"/>
  <c r="AB133" i="2"/>
  <c r="AC133" i="2"/>
  <c r="AD133" i="2"/>
  <c r="AE133" i="2"/>
  <c r="Y134" i="2"/>
  <c r="Z134" i="2"/>
  <c r="AA134" i="2"/>
  <c r="AB134" i="2"/>
  <c r="AC134" i="2"/>
  <c r="AD134" i="2"/>
  <c r="AE134" i="2"/>
  <c r="Y135" i="2"/>
  <c r="Z135" i="2"/>
  <c r="AA135" i="2"/>
  <c r="AB135" i="2"/>
  <c r="AC135" i="2"/>
  <c r="AD135" i="2"/>
  <c r="AE135" i="2"/>
  <c r="Y136" i="2"/>
  <c r="Z136" i="2"/>
  <c r="AA136" i="2"/>
  <c r="AB136" i="2"/>
  <c r="AC136" i="2"/>
  <c r="AD136" i="2"/>
  <c r="AE136" i="2"/>
  <c r="Y137" i="2"/>
  <c r="Z137" i="2"/>
  <c r="AA137" i="2"/>
  <c r="AB137" i="2"/>
  <c r="AC137" i="2"/>
  <c r="AD137" i="2"/>
  <c r="AE137" i="2"/>
  <c r="Y138" i="2"/>
  <c r="Z138" i="2"/>
  <c r="AA138" i="2"/>
  <c r="AB138" i="2"/>
  <c r="AC138" i="2"/>
  <c r="AD138" i="2"/>
  <c r="AE138" i="2"/>
  <c r="Y139" i="2"/>
  <c r="Z139" i="2"/>
  <c r="AA139" i="2"/>
  <c r="AB139" i="2"/>
  <c r="AC139" i="2"/>
  <c r="AD139" i="2"/>
  <c r="AE139" i="2"/>
  <c r="Y140" i="2"/>
  <c r="Z140" i="2"/>
  <c r="AA140" i="2"/>
  <c r="AB140" i="2"/>
  <c r="AC140" i="2"/>
  <c r="AD140" i="2"/>
  <c r="AE140" i="2"/>
  <c r="Y141" i="2"/>
  <c r="Z141" i="2"/>
  <c r="AA141" i="2"/>
  <c r="AB141" i="2"/>
  <c r="AC141" i="2"/>
  <c r="AD141" i="2"/>
  <c r="AE141" i="2"/>
  <c r="Y142" i="2"/>
  <c r="Z142" i="2"/>
  <c r="AA142" i="2"/>
  <c r="AB142" i="2"/>
  <c r="AC142" i="2"/>
  <c r="AD142" i="2"/>
  <c r="AE142" i="2"/>
  <c r="Y143" i="2"/>
  <c r="Z143" i="2"/>
  <c r="AA143" i="2"/>
  <c r="AB143" i="2"/>
  <c r="AC143" i="2"/>
  <c r="AD143" i="2"/>
  <c r="AE143" i="2"/>
  <c r="Y144" i="2"/>
  <c r="Z144" i="2"/>
  <c r="AA144" i="2"/>
  <c r="AB144" i="2"/>
  <c r="AC144" i="2"/>
  <c r="AD144" i="2"/>
  <c r="AE144" i="2"/>
  <c r="Y145" i="2"/>
  <c r="Z145" i="2"/>
  <c r="AA145" i="2"/>
  <c r="AB145" i="2"/>
  <c r="AC145" i="2"/>
  <c r="AD145" i="2"/>
  <c r="AE145" i="2"/>
  <c r="Y146" i="2"/>
  <c r="Z146" i="2"/>
  <c r="AA146" i="2"/>
  <c r="AB146" i="2"/>
  <c r="AC146" i="2"/>
  <c r="AD146" i="2"/>
  <c r="AE146" i="2"/>
  <c r="Y147" i="2"/>
  <c r="Z147" i="2"/>
  <c r="AA147" i="2"/>
  <c r="AB147" i="2"/>
  <c r="AC147" i="2"/>
  <c r="AD147" i="2"/>
  <c r="AE147" i="2"/>
  <c r="Y148" i="2"/>
  <c r="Z148" i="2"/>
  <c r="AA148" i="2"/>
  <c r="AB148" i="2"/>
  <c r="AC148" i="2"/>
  <c r="AD148" i="2"/>
  <c r="AE148" i="2"/>
  <c r="Y149" i="2"/>
  <c r="Z149" i="2"/>
  <c r="AA149" i="2"/>
  <c r="AB149" i="2"/>
  <c r="AC149" i="2"/>
  <c r="AD149" i="2"/>
  <c r="AE149" i="2"/>
  <c r="Y150" i="2"/>
  <c r="Z150" i="2"/>
  <c r="AA150" i="2"/>
  <c r="AB150" i="2"/>
  <c r="AC150" i="2"/>
  <c r="AD150" i="2"/>
  <c r="AE150" i="2"/>
  <c r="Y151" i="2"/>
  <c r="Z151" i="2"/>
  <c r="AA151" i="2"/>
  <c r="AB151" i="2"/>
  <c r="AC151" i="2"/>
  <c r="AD151" i="2"/>
  <c r="AE151" i="2"/>
  <c r="Y152" i="2"/>
  <c r="Z152" i="2"/>
  <c r="AA152" i="2"/>
  <c r="AB152" i="2"/>
  <c r="AC152" i="2"/>
  <c r="AD152" i="2"/>
  <c r="AE152" i="2"/>
  <c r="Y153" i="2"/>
  <c r="Z153" i="2"/>
  <c r="AA153" i="2"/>
  <c r="AB153" i="2"/>
  <c r="AC153" i="2"/>
  <c r="AD153" i="2"/>
  <c r="AE153" i="2"/>
  <c r="Y154" i="2"/>
  <c r="Z154" i="2"/>
  <c r="AA154" i="2"/>
  <c r="AB154" i="2"/>
  <c r="AC154" i="2"/>
  <c r="AD154" i="2"/>
  <c r="AE154" i="2"/>
  <c r="Y155" i="2"/>
  <c r="Z155" i="2"/>
  <c r="AA155" i="2"/>
  <c r="AB155" i="2"/>
  <c r="AC155" i="2"/>
  <c r="AD155" i="2"/>
  <c r="AE155" i="2"/>
  <c r="Y156" i="2"/>
  <c r="Z156" i="2"/>
  <c r="AA156" i="2"/>
  <c r="AB156" i="2"/>
  <c r="AC156" i="2"/>
  <c r="AD156" i="2"/>
  <c r="AE156" i="2"/>
  <c r="Y157" i="2"/>
  <c r="Z157" i="2"/>
  <c r="AA157" i="2"/>
  <c r="AB157" i="2"/>
  <c r="AC157" i="2"/>
  <c r="AD157" i="2"/>
  <c r="AE157" i="2"/>
  <c r="Y158" i="2"/>
  <c r="Z158" i="2"/>
  <c r="AA158" i="2"/>
  <c r="AB158" i="2"/>
  <c r="AC158" i="2"/>
  <c r="AD158" i="2"/>
  <c r="AE158" i="2"/>
  <c r="Y159" i="2"/>
  <c r="Z159" i="2"/>
  <c r="AA159" i="2"/>
  <c r="AB159" i="2"/>
  <c r="AC159" i="2"/>
  <c r="AD159" i="2"/>
  <c r="AE159" i="2"/>
  <c r="Y160" i="2"/>
  <c r="Z160" i="2"/>
  <c r="AA160" i="2"/>
  <c r="AB160" i="2"/>
  <c r="AC160" i="2"/>
  <c r="AD160" i="2"/>
  <c r="AE160" i="2"/>
  <c r="Y161" i="2"/>
  <c r="Z161" i="2"/>
  <c r="AA161" i="2"/>
  <c r="AB161" i="2"/>
  <c r="AC161" i="2"/>
  <c r="AD161" i="2"/>
  <c r="AE161" i="2"/>
  <c r="Y162" i="2"/>
  <c r="Z162" i="2"/>
  <c r="AA162" i="2"/>
  <c r="AB162" i="2"/>
  <c r="AC162" i="2"/>
  <c r="AD162" i="2"/>
  <c r="AE162" i="2"/>
  <c r="Y163" i="2"/>
  <c r="Z163" i="2"/>
  <c r="AA163" i="2"/>
  <c r="AB163" i="2"/>
  <c r="AC163" i="2"/>
  <c r="AD163" i="2"/>
  <c r="AE163" i="2"/>
  <c r="Y164" i="2"/>
  <c r="Z164" i="2"/>
  <c r="AA164" i="2"/>
  <c r="AB164" i="2"/>
  <c r="AC164" i="2"/>
  <c r="AD164" i="2"/>
  <c r="AE164" i="2"/>
  <c r="Y165" i="2"/>
  <c r="Z165" i="2"/>
  <c r="AA165" i="2"/>
  <c r="AB165" i="2"/>
  <c r="AC165" i="2"/>
  <c r="AD165" i="2"/>
  <c r="AE165" i="2"/>
  <c r="Y166" i="2"/>
  <c r="Z166" i="2"/>
  <c r="AA166" i="2"/>
  <c r="AB166" i="2"/>
  <c r="AC166" i="2"/>
  <c r="AD166" i="2"/>
  <c r="AE166" i="2"/>
  <c r="Y167" i="2"/>
  <c r="Z167" i="2"/>
  <c r="AA167" i="2"/>
  <c r="AB167" i="2"/>
  <c r="AC167" i="2"/>
  <c r="AD167" i="2"/>
  <c r="AE167" i="2"/>
  <c r="Y168" i="2"/>
  <c r="Z168" i="2"/>
  <c r="AA168" i="2"/>
  <c r="AB168" i="2"/>
  <c r="AC168" i="2"/>
  <c r="AD168" i="2"/>
  <c r="AE168" i="2"/>
  <c r="Y169" i="2"/>
  <c r="Z169" i="2"/>
  <c r="AA169" i="2"/>
  <c r="AB169" i="2"/>
  <c r="AC169" i="2"/>
  <c r="AD169" i="2"/>
  <c r="AE169" i="2"/>
  <c r="Y170" i="2"/>
  <c r="Z170" i="2"/>
  <c r="AA170" i="2"/>
  <c r="AB170" i="2"/>
  <c r="AC170" i="2"/>
  <c r="AD170" i="2"/>
  <c r="AE170" i="2"/>
  <c r="Y171" i="2"/>
  <c r="Z171" i="2"/>
  <c r="AA171" i="2"/>
  <c r="AB171" i="2"/>
  <c r="AC171" i="2"/>
  <c r="AD171" i="2"/>
  <c r="AE171" i="2"/>
  <c r="Y172" i="2"/>
  <c r="Z172" i="2"/>
  <c r="AA172" i="2"/>
  <c r="AB172" i="2"/>
  <c r="AC172" i="2"/>
  <c r="AD172" i="2"/>
  <c r="AE172" i="2"/>
  <c r="Y173" i="2"/>
  <c r="Z173" i="2"/>
  <c r="AA173" i="2"/>
  <c r="AB173" i="2"/>
  <c r="AC173" i="2"/>
  <c r="AD173" i="2"/>
  <c r="AE173" i="2"/>
  <c r="Y174" i="2"/>
  <c r="Z174" i="2"/>
  <c r="AA174" i="2"/>
  <c r="AB174" i="2"/>
  <c r="AC174" i="2"/>
  <c r="AD174" i="2"/>
  <c r="AE174" i="2"/>
  <c r="Y175" i="2"/>
  <c r="Z175" i="2"/>
  <c r="AA175" i="2"/>
  <c r="AB175" i="2"/>
  <c r="AC175" i="2"/>
  <c r="AD175" i="2"/>
  <c r="AE175" i="2"/>
  <c r="Y176" i="2"/>
  <c r="Z176" i="2"/>
  <c r="AA176" i="2"/>
  <c r="AB176" i="2"/>
  <c r="AC176" i="2"/>
  <c r="AD176" i="2"/>
  <c r="AE176" i="2"/>
  <c r="Y177" i="2"/>
  <c r="Z177" i="2"/>
  <c r="AA177" i="2"/>
  <c r="AB177" i="2"/>
  <c r="AC177" i="2"/>
  <c r="AD177" i="2"/>
  <c r="AE177" i="2"/>
  <c r="Y178" i="2"/>
  <c r="Z178" i="2"/>
  <c r="AA178" i="2"/>
  <c r="AB178" i="2"/>
  <c r="AC178" i="2"/>
  <c r="AD178" i="2"/>
  <c r="AE178" i="2"/>
  <c r="Y179" i="2"/>
  <c r="Z179" i="2"/>
  <c r="AA179" i="2"/>
  <c r="AB179" i="2"/>
  <c r="AC179" i="2"/>
  <c r="AD179" i="2"/>
  <c r="AE179" i="2"/>
  <c r="Y180" i="2"/>
  <c r="Z180" i="2"/>
  <c r="AA180" i="2"/>
  <c r="AB180" i="2"/>
  <c r="AC180" i="2"/>
  <c r="AD180" i="2"/>
  <c r="AE180" i="2"/>
  <c r="Y181" i="2"/>
  <c r="Z181" i="2"/>
  <c r="AA181" i="2"/>
  <c r="AB181" i="2"/>
  <c r="AC181" i="2"/>
  <c r="AD181" i="2"/>
  <c r="AE181" i="2"/>
  <c r="Y182" i="2"/>
  <c r="Z182" i="2"/>
  <c r="AA182" i="2"/>
  <c r="AB182" i="2"/>
  <c r="AC182" i="2"/>
  <c r="AD182" i="2"/>
  <c r="AE182" i="2"/>
  <c r="Y183" i="2"/>
  <c r="Z183" i="2"/>
  <c r="AA183" i="2"/>
  <c r="AB183" i="2"/>
  <c r="AC183" i="2"/>
  <c r="AD183" i="2"/>
  <c r="AE183" i="2"/>
  <c r="Y184" i="2"/>
  <c r="Z184" i="2"/>
  <c r="AA184" i="2"/>
  <c r="AB184" i="2"/>
  <c r="AC184" i="2"/>
  <c r="AD184" i="2"/>
  <c r="AE184" i="2"/>
  <c r="Y185" i="2"/>
  <c r="Z185" i="2"/>
  <c r="AA185" i="2"/>
  <c r="AB185" i="2"/>
  <c r="AC185" i="2"/>
  <c r="AD185" i="2"/>
  <c r="AE185" i="2"/>
  <c r="Y186" i="2"/>
  <c r="Z186" i="2"/>
  <c r="AA186" i="2"/>
  <c r="AB186" i="2"/>
  <c r="AC186" i="2"/>
  <c r="AD186" i="2"/>
  <c r="AE186" i="2"/>
  <c r="Y187" i="2"/>
  <c r="Z187" i="2"/>
  <c r="AA187" i="2"/>
  <c r="AB187" i="2"/>
  <c r="AC187" i="2"/>
  <c r="AD187" i="2"/>
  <c r="AE187" i="2"/>
  <c r="Y188" i="2"/>
  <c r="Z188" i="2"/>
  <c r="AA188" i="2"/>
  <c r="AB188" i="2"/>
  <c r="AC188" i="2"/>
  <c r="AD188" i="2"/>
  <c r="AE188" i="2"/>
  <c r="Y189" i="2"/>
  <c r="Z189" i="2"/>
  <c r="AA189" i="2"/>
  <c r="AB189" i="2"/>
  <c r="AC189" i="2"/>
  <c r="AD189" i="2"/>
  <c r="AE189" i="2"/>
  <c r="Y190" i="2"/>
  <c r="Z190" i="2"/>
  <c r="AA190" i="2"/>
  <c r="AB190" i="2"/>
  <c r="AC190" i="2"/>
  <c r="AD190" i="2"/>
  <c r="AE190" i="2"/>
  <c r="Y191" i="2"/>
  <c r="Z191" i="2"/>
  <c r="AA191" i="2"/>
  <c r="AB191" i="2"/>
  <c r="AC191" i="2"/>
  <c r="AD191" i="2"/>
  <c r="AE191" i="2"/>
  <c r="Y192" i="2"/>
  <c r="Z192" i="2"/>
  <c r="AA192" i="2"/>
  <c r="AB192" i="2"/>
  <c r="AC192" i="2"/>
  <c r="AD192" i="2"/>
  <c r="AE192" i="2"/>
  <c r="Y193" i="2"/>
  <c r="Z193" i="2"/>
  <c r="AA193" i="2"/>
  <c r="AB193" i="2"/>
  <c r="AC193" i="2"/>
  <c r="AD193" i="2"/>
  <c r="AE193" i="2"/>
  <c r="Y194" i="2"/>
  <c r="Z194" i="2"/>
  <c r="AA194" i="2"/>
  <c r="AB194" i="2"/>
  <c r="AC194" i="2"/>
  <c r="AD194" i="2"/>
  <c r="AE194" i="2"/>
  <c r="Y195" i="2"/>
  <c r="Z195" i="2"/>
  <c r="AA195" i="2"/>
  <c r="AB195" i="2"/>
  <c r="AC195" i="2"/>
  <c r="AD195" i="2"/>
  <c r="AE195" i="2"/>
  <c r="Y196" i="2"/>
  <c r="Z196" i="2"/>
  <c r="AA196" i="2"/>
  <c r="AB196" i="2"/>
  <c r="AC196" i="2"/>
  <c r="AD196" i="2"/>
  <c r="AE196" i="2"/>
  <c r="Y197" i="2"/>
  <c r="Z197" i="2"/>
  <c r="AA197" i="2"/>
  <c r="AB197" i="2"/>
  <c r="AC197" i="2"/>
  <c r="AD197" i="2"/>
  <c r="AE197" i="2"/>
  <c r="Y198" i="2"/>
  <c r="Z198" i="2"/>
  <c r="AA198" i="2"/>
  <c r="AB198" i="2"/>
  <c r="AC198" i="2"/>
  <c r="AD198" i="2"/>
  <c r="AE198" i="2"/>
  <c r="Y199" i="2"/>
  <c r="Z199" i="2"/>
  <c r="AA199" i="2"/>
  <c r="AB199" i="2"/>
  <c r="AC199" i="2"/>
  <c r="AD199" i="2"/>
  <c r="AE199" i="2"/>
  <c r="Y200" i="2"/>
  <c r="Z200" i="2"/>
  <c r="AA200" i="2"/>
  <c r="AB200" i="2"/>
  <c r="AC200" i="2"/>
  <c r="AD200" i="2"/>
  <c r="AE200" i="2"/>
  <c r="Y201" i="2"/>
  <c r="Z201" i="2"/>
  <c r="AA201" i="2"/>
  <c r="AB201" i="2"/>
  <c r="AC201" i="2"/>
  <c r="AD201" i="2"/>
  <c r="AE201" i="2"/>
  <c r="AE7" i="2"/>
  <c r="AD7" i="2"/>
  <c r="AC7" i="2"/>
  <c r="AB7" i="2"/>
  <c r="AA7" i="2"/>
  <c r="Z7" i="2"/>
  <c r="Y7" i="2"/>
</calcChain>
</file>

<file path=xl/sharedStrings.xml><?xml version="1.0" encoding="utf-8"?>
<sst xmlns="http://schemas.openxmlformats.org/spreadsheetml/2006/main" count="94" uniqueCount="48">
  <si>
    <t>Cadastre vários itens simultaneamente</t>
  </si>
  <si>
    <t>Preencha os dados do que quiser cadastrar.</t>
  </si>
  <si>
    <t>Categorias:</t>
  </si>
  <si>
    <t>Envie a planilha Excel</t>
  </si>
  <si>
    <t>Cadastro de Produtos</t>
  </si>
  <si>
    <t>Cadastro de Pedidos</t>
  </si>
  <si>
    <t>Ao terminar, lembre-se de salvar e importar a planilha Excel para o Matriz</t>
  </si>
  <si>
    <t>Cadastro de Marcas</t>
  </si>
  <si>
    <t xml:space="preserve">Cadastros Básicos &gt; Produto </t>
  </si>
  <si>
    <t>Atributos</t>
  </si>
  <si>
    <t>Banco de Dados</t>
  </si>
  <si>
    <t>Seção</t>
  </si>
  <si>
    <t>Espécie</t>
  </si>
  <si>
    <t>Descrição</t>
  </si>
  <si>
    <t>Descrição Reduzida</t>
  </si>
  <si>
    <t>Marca</t>
  </si>
  <si>
    <t>Referência do Fornecedor</t>
  </si>
  <si>
    <t>Código Original</t>
  </si>
  <si>
    <t>Comprador</t>
  </si>
  <si>
    <t>Produto Ativo?</t>
  </si>
  <si>
    <t>Unidade</t>
  </si>
  <si>
    <t>Classificação Fiscal</t>
  </si>
  <si>
    <t>Origem</t>
  </si>
  <si>
    <t>Valor de Venda</t>
  </si>
  <si>
    <t>% ICMS</t>
  </si>
  <si>
    <t>% IPI</t>
  </si>
  <si>
    <t>Etiqueta Padrão</t>
  </si>
  <si>
    <t>Obrigatório</t>
  </si>
  <si>
    <t>Os valores abaixo servem para consolidar os dados selecionados nos menus suspensos das tabelas acima e garantir uma integração eficiente com o banco de dados. Por esse motivo, essas células estão protegidas.</t>
  </si>
  <si>
    <t>Aviso: Os valores disponíveis para "seção" são importados automaticamente do banco de dados do Matriz.</t>
  </si>
  <si>
    <t>Aviso: Os valores disponíveis para "espécie" são importados automaticamente do banco de dados do Matriz.</t>
  </si>
  <si>
    <t xml:space="preserve">Aviso: Os valores disponíveis para "marca" são importados automaticamente do banco de dados do Matriz. </t>
  </si>
  <si>
    <t>Aviso: Os valores disponíveis para "comprador" são importados automaticamente do banco de dados do Matriz.</t>
  </si>
  <si>
    <t>Por padrão, os valores de "Produto Ativo?" são definidos como 1.</t>
  </si>
  <si>
    <t>Aviso: Os valores disponíveis para "etiqueta padrão" são importados automaticamente do banco de dados do Matriz.</t>
  </si>
  <si>
    <t xml:space="preserve">Cadastros Básicos &gt; Pedido </t>
  </si>
  <si>
    <t xml:space="preserve">Cadastros Básicos &gt; Marca </t>
  </si>
  <si>
    <t>Nome</t>
  </si>
  <si>
    <t xml:space="preserve">Máximo 50 caracteres. </t>
  </si>
  <si>
    <t>Para cadastro de 'Marca' em lotes, clique aqui</t>
  </si>
  <si>
    <t>Aviso: Os valores disponíveis para "unidade" são importados automaticamente do banco de dados do Matriz.</t>
  </si>
  <si>
    <t>Aviso: Os valores disponíveis para "classificação fiscal" são importados automaticamente do banco de dados do Matriz.</t>
  </si>
  <si>
    <r>
      <t xml:space="preserve">Máximo 50 caracteres. </t>
    </r>
    <r>
      <rPr>
        <sz val="10"/>
        <rFont val="Arial"/>
        <family val="2"/>
      </rPr>
      <t>Dica: Se a sua descrição incluir os mesmos valores de "seção" e/ou "espécie", remova as palavras repetidas para evitar duplicidade na impressão da etiqueta.</t>
    </r>
  </si>
  <si>
    <r>
      <t xml:space="preserve">Máximo 50 caracteres. </t>
    </r>
    <r>
      <rPr>
        <sz val="10"/>
        <rFont val="Arial"/>
        <family val="2"/>
      </rPr>
      <t>Dica: A "descrição reduzida" geralmente inclui apenas uma ou duas palavras-chave relacionadas à "descrição".</t>
    </r>
  </si>
  <si>
    <t xml:space="preserve">Cadastro de Produtos </t>
  </si>
  <si>
    <t>Precisa de ajuda?</t>
  </si>
  <si>
    <t xml:space="preserve">O que cada cor das células significa? </t>
  </si>
  <si>
    <t>Você precisa corrigir um erro. Normalmente, quando esta célula aparece, existem informações relacionadas a seleção de valores faltando na planilha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</si>
</sst>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23" x14ac:knownFonts="1">
    <font>
      <sz val="11"/>
      <color theme="1"/>
      <name val="Calibri"/>
      <family val="2"/>
      <scheme val="minor"/>
    </font>
    <font>
      <sz val="21"/>
      <color rgb="FF333333"/>
      <name val="Arial"/>
      <family val="2"/>
    </font>
    <font>
      <sz val="12"/>
      <color rgb="FF666666"/>
      <name val="Arial"/>
      <family val="2"/>
    </font>
    <font>
      <b/>
      <sz val="14"/>
      <color rgb="FF333333"/>
      <name val="Arial"/>
      <family val="2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sz val="10"/>
      <color rgb="FF666666"/>
      <name val="Arial"/>
      <family val="2"/>
    </font>
    <font>
      <b/>
      <sz val="9"/>
      <name val="Arial"/>
      <family val="2"/>
    </font>
    <font>
      <b/>
      <sz val="14"/>
      <name val="Arial"/>
      <family val="2"/>
    </font>
    <font>
      <i/>
      <sz val="9"/>
      <color rgb="FF85200C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b/>
      <sz val="10"/>
      <color rgb="FF919191"/>
      <name val="Arial"/>
      <family val="2"/>
    </font>
    <font>
      <b/>
      <sz val="11"/>
      <color theme="1"/>
      <name val="Calibri"/>
      <family val="2"/>
      <scheme val="minor"/>
    </font>
    <font>
      <b/>
      <sz val="9"/>
      <color theme="0"/>
      <name val="Arial"/>
      <family val="2"/>
    </font>
    <font>
      <u/>
      <sz val="8"/>
      <color theme="10"/>
      <name val="Arial"/>
      <family val="2"/>
    </font>
    <font>
      <sz val="8"/>
      <name val="Calibri"/>
      <family val="2"/>
      <scheme val="minor"/>
    </font>
    <font>
      <sz val="8"/>
      <name val="Arial"/>
      <family val="2"/>
    </font>
    <font>
      <b/>
      <sz val="11"/>
      <color rgb="FF000000"/>
      <name val="Arial"/>
      <family val="2"/>
    </font>
    <font>
      <b/>
      <sz val="12"/>
      <color rgb="FF999999"/>
      <name val="Arial"/>
      <family val="2"/>
    </font>
    <font>
      <sz val="10"/>
      <color rgb="FFB53028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rgb="FFF5F5F5"/>
      </patternFill>
    </fill>
    <fill>
      <patternFill patternType="solid">
        <fgColor theme="0" tint="-4.9989318521683403E-2"/>
        <bgColor rgb="FFF9F9F9"/>
      </patternFill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rgb="FFF3F3F3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3E1EB2"/>
        <bgColor indexed="64"/>
      </patternFill>
    </fill>
    <fill>
      <patternFill patternType="solid">
        <fgColor rgb="FFB4DAD9"/>
        <bgColor indexed="64"/>
      </patternFill>
    </fill>
    <fill>
      <patternFill patternType="solid">
        <fgColor rgb="FFF4CCCC"/>
        <bgColor rgb="FFF4CCCC"/>
      </patternFill>
    </fill>
  </fills>
  <borders count="24">
    <border>
      <left/>
      <right/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/>
      <diagonal/>
    </border>
    <border>
      <left style="thin">
        <color rgb="FFCFCFCF"/>
      </left>
      <right/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CFCFCF"/>
      </left>
      <right/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 style="thin">
        <color rgb="FFCFCFCF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/>
      <right style="thin">
        <color rgb="FFF9F9F9"/>
      </right>
      <top/>
      <bottom/>
      <diagonal/>
    </border>
    <border>
      <left style="thin">
        <color rgb="FFF4CCCC"/>
      </left>
      <right/>
      <top style="thin">
        <color rgb="FFF4CCCC"/>
      </top>
      <bottom style="thin">
        <color rgb="FFF4CCCC"/>
      </bottom>
      <diagonal/>
    </border>
  </borders>
  <cellStyleXfs count="2">
    <xf numFmtId="0" fontId="0" fillId="0" borderId="0"/>
    <xf numFmtId="0" fontId="4" fillId="0" borderId="0"/>
  </cellStyleXfs>
  <cellXfs count="76">
    <xf numFmtId="0" fontId="0" fillId="0" borderId="0" xfId="0"/>
    <xf numFmtId="0" fontId="0" fillId="2" borderId="0" xfId="0" applyFill="1"/>
    <xf numFmtId="0" fontId="1" fillId="2" borderId="0" xfId="0" applyFont="1" applyFill="1"/>
    <xf numFmtId="0" fontId="2" fillId="2" borderId="0" xfId="0" applyFont="1" applyFill="1"/>
    <xf numFmtId="0" fontId="0" fillId="4" borderId="0" xfId="0" applyFill="1"/>
    <xf numFmtId="0" fontId="0" fillId="5" borderId="0" xfId="0" applyFill="1"/>
    <xf numFmtId="0" fontId="0" fillId="9" borderId="0" xfId="0" applyFill="1"/>
    <xf numFmtId="0" fontId="7" fillId="2" borderId="1" xfId="0" applyFont="1" applyFill="1" applyBorder="1" applyAlignment="1" applyProtection="1">
      <alignment horizontal="center" vertical="center" wrapText="1"/>
      <protection locked="0"/>
    </xf>
    <xf numFmtId="0" fontId="7" fillId="2" borderId="2" xfId="0" applyFont="1" applyFill="1" applyBorder="1" applyAlignment="1" applyProtection="1">
      <alignment horizontal="center" vertical="center" wrapText="1"/>
      <protection locked="0"/>
    </xf>
    <xf numFmtId="0" fontId="11" fillId="10" borderId="0" xfId="0" applyFont="1" applyFill="1" applyAlignment="1" applyProtection="1">
      <alignment horizontal="center" vertical="center" wrapText="1"/>
      <protection locked="0"/>
    </xf>
    <xf numFmtId="0" fontId="7" fillId="2" borderId="3" xfId="0" applyFont="1" applyFill="1" applyBorder="1" applyAlignment="1" applyProtection="1">
      <alignment horizontal="center" vertical="center" wrapText="1"/>
      <protection locked="0"/>
    </xf>
    <xf numFmtId="0" fontId="7" fillId="12" borderId="0" xfId="0" applyFont="1" applyFill="1" applyAlignment="1" applyProtection="1">
      <alignment horizontal="center" vertical="center" wrapText="1"/>
      <protection locked="0"/>
    </xf>
    <xf numFmtId="0" fontId="9" fillId="10" borderId="4" xfId="0" applyFont="1" applyFill="1" applyBorder="1" applyAlignment="1" applyProtection="1">
      <alignment horizontal="center" vertical="center" wrapText="1"/>
      <protection locked="0"/>
    </xf>
    <xf numFmtId="0" fontId="11" fillId="10" borderId="5" xfId="0" applyFont="1" applyFill="1" applyBorder="1" applyAlignment="1" applyProtection="1">
      <alignment horizontal="center" vertical="center" wrapText="1"/>
      <protection locked="0"/>
    </xf>
    <xf numFmtId="0" fontId="13" fillId="0" borderId="0" xfId="0" applyFont="1" applyAlignment="1">
      <alignment horizontal="center" vertical="center"/>
    </xf>
    <xf numFmtId="164" fontId="13" fillId="0" borderId="0" xfId="0" applyNumberFormat="1" applyFont="1" applyAlignment="1">
      <alignment horizontal="center" vertical="center"/>
    </xf>
    <xf numFmtId="10" fontId="13" fillId="0" borderId="0" xfId="0" applyNumberFormat="1" applyFont="1" applyAlignment="1">
      <alignment horizontal="center" vertical="center"/>
    </xf>
    <xf numFmtId="0" fontId="12" fillId="10" borderId="5" xfId="0" applyFont="1" applyFill="1" applyBorder="1" applyAlignment="1" applyProtection="1">
      <alignment horizontal="center" vertical="center" wrapText="1"/>
      <protection locked="0"/>
    </xf>
    <xf numFmtId="0" fontId="7" fillId="2" borderId="6" xfId="0" applyFont="1" applyFill="1" applyBorder="1" applyAlignment="1" applyProtection="1">
      <alignment horizontal="center" vertical="center" wrapText="1"/>
      <protection locked="0"/>
    </xf>
    <xf numFmtId="0" fontId="9" fillId="10" borderId="6" xfId="0" applyFont="1" applyFill="1" applyBorder="1" applyAlignment="1" applyProtection="1">
      <alignment horizontal="center" vertical="center" wrapText="1"/>
      <protection locked="0"/>
    </xf>
    <xf numFmtId="0" fontId="7" fillId="2" borderId="7" xfId="0" applyFont="1" applyFill="1" applyBorder="1" applyAlignment="1" applyProtection="1">
      <alignment horizontal="center" vertical="center" wrapText="1"/>
      <protection locked="0"/>
    </xf>
    <xf numFmtId="1" fontId="0" fillId="0" borderId="0" xfId="0" applyNumberFormat="1"/>
    <xf numFmtId="0" fontId="16" fillId="13" borderId="8" xfId="0" applyFont="1" applyFill="1" applyBorder="1" applyAlignment="1">
      <alignment horizontal="center" vertical="center"/>
    </xf>
    <xf numFmtId="0" fontId="16" fillId="13" borderId="9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8" fillId="8" borderId="0" xfId="0" applyFont="1" applyFill="1" applyAlignment="1" applyProtection="1">
      <alignment horizontal="left" vertical="center"/>
      <protection locked="0"/>
    </xf>
    <xf numFmtId="0" fontId="12" fillId="10" borderId="0" xfId="0" applyFont="1" applyFill="1" applyAlignment="1" applyProtection="1">
      <alignment horizontal="center" vertical="center" wrapText="1"/>
      <protection locked="0"/>
    </xf>
    <xf numFmtId="0" fontId="12" fillId="10" borderId="15" xfId="0" applyFont="1" applyFill="1" applyBorder="1" applyAlignment="1" applyProtection="1">
      <alignment horizontal="center" vertical="center" wrapText="1"/>
      <protection locked="0"/>
    </xf>
    <xf numFmtId="0" fontId="11" fillId="10" borderId="15" xfId="0" applyFont="1" applyFill="1" applyBorder="1" applyAlignment="1" applyProtection="1">
      <alignment horizontal="center" vertical="center" wrapText="1"/>
      <protection locked="0"/>
    </xf>
    <xf numFmtId="0" fontId="12" fillId="10" borderId="16" xfId="0" applyFont="1" applyFill="1" applyBorder="1" applyAlignment="1" applyProtection="1">
      <alignment horizontal="center" vertical="center" wrapText="1"/>
      <protection locked="0"/>
    </xf>
    <xf numFmtId="0" fontId="11" fillId="10" borderId="14" xfId="0" applyFont="1" applyFill="1" applyBorder="1" applyAlignment="1" applyProtection="1">
      <alignment horizontal="center" vertical="center" wrapText="1"/>
      <protection locked="0"/>
    </xf>
    <xf numFmtId="0" fontId="12" fillId="10" borderId="17" xfId="0" applyFont="1" applyFill="1" applyBorder="1" applyAlignment="1" applyProtection="1">
      <alignment horizontal="center" vertical="center" wrapText="1"/>
      <protection locked="0"/>
    </xf>
    <xf numFmtId="0" fontId="14" fillId="8" borderId="0" xfId="0" applyFont="1" applyFill="1" applyAlignment="1" applyProtection="1">
      <alignment vertical="center"/>
      <protection locked="0"/>
    </xf>
    <xf numFmtId="0" fontId="17" fillId="5" borderId="5" xfId="1" applyFont="1" applyFill="1" applyBorder="1" applyAlignment="1">
      <alignment horizontal="center" vertical="center"/>
    </xf>
    <xf numFmtId="0" fontId="17" fillId="5" borderId="15" xfId="1" applyFont="1" applyFill="1" applyBorder="1" applyAlignment="1">
      <alignment horizontal="center" vertical="center"/>
    </xf>
    <xf numFmtId="0" fontId="11" fillId="10" borderId="19" xfId="0" applyFont="1" applyFill="1" applyBorder="1" applyAlignment="1" applyProtection="1">
      <alignment horizontal="center" vertical="center" wrapText="1"/>
      <protection locked="0"/>
    </xf>
    <xf numFmtId="0" fontId="0" fillId="5" borderId="5" xfId="0" applyFill="1" applyBorder="1"/>
    <xf numFmtId="0" fontId="0" fillId="5" borderId="16" xfId="0" applyFill="1" applyBorder="1"/>
    <xf numFmtId="0" fontId="0" fillId="5" borderId="18" xfId="0" applyFill="1" applyBorder="1"/>
    <xf numFmtId="0" fontId="13" fillId="0" borderId="12" xfId="0" applyFont="1" applyBorder="1" applyAlignment="1">
      <alignment horizontal="center" vertical="center"/>
    </xf>
    <xf numFmtId="0" fontId="0" fillId="5" borderId="20" xfId="0" applyFill="1" applyBorder="1"/>
    <xf numFmtId="0" fontId="13" fillId="0" borderId="13" xfId="0" applyFont="1" applyBorder="1" applyAlignment="1">
      <alignment horizontal="center" vertical="center"/>
    </xf>
    <xf numFmtId="0" fontId="0" fillId="5" borderId="21" xfId="0" applyFill="1" applyBorder="1"/>
    <xf numFmtId="0" fontId="17" fillId="5" borderId="21" xfId="1" applyFont="1" applyFill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0" fontId="19" fillId="10" borderId="15" xfId="0" applyFont="1" applyFill="1" applyBorder="1" applyAlignment="1" applyProtection="1">
      <alignment horizontal="center" vertical="center" wrapText="1"/>
      <protection locked="0"/>
    </xf>
    <xf numFmtId="0" fontId="20" fillId="7" borderId="22" xfId="0" applyFont="1" applyFill="1" applyBorder="1"/>
    <xf numFmtId="0" fontId="21" fillId="15" borderId="23" xfId="0" applyFont="1" applyFill="1" applyBorder="1"/>
    <xf numFmtId="0" fontId="0" fillId="3" borderId="0" xfId="0" applyFill="1" applyAlignment="1">
      <alignment horizontal="center"/>
    </xf>
    <xf numFmtId="0" fontId="0" fillId="0" borderId="0" xfId="0"/>
    <xf numFmtId="0" fontId="0" fillId="2" borderId="0" xfId="0" applyFill="1" applyAlignment="1">
      <alignment horizontal="center"/>
    </xf>
    <xf numFmtId="0" fontId="5" fillId="4" borderId="0" xfId="1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3" fillId="6" borderId="0" xfId="0" applyFont="1" applyFill="1" applyAlignment="1">
      <alignment horizontal="left"/>
    </xf>
    <xf numFmtId="0" fontId="6" fillId="7" borderId="0" xfId="0" applyFont="1" applyFill="1" applyAlignment="1">
      <alignment vertical="center"/>
    </xf>
    <xf numFmtId="0" fontId="3" fillId="7" borderId="0" xfId="0" applyFont="1" applyFill="1"/>
    <xf numFmtId="0" fontId="12" fillId="5" borderId="0" xfId="0" applyFont="1" applyFill="1"/>
    <xf numFmtId="0" fontId="22" fillId="7" borderId="0" xfId="0" applyFont="1" applyFill="1" applyAlignment="1">
      <alignment vertical="top" wrapText="1"/>
    </xf>
    <xf numFmtId="0" fontId="0" fillId="5" borderId="0" xfId="0" applyFill="1"/>
    <xf numFmtId="0" fontId="14" fillId="8" borderId="0" xfId="0" applyFont="1" applyFill="1" applyAlignment="1" applyProtection="1">
      <alignment horizontal="left" vertical="center"/>
      <protection locked="0"/>
    </xf>
    <xf numFmtId="0" fontId="0" fillId="0" borderId="0" xfId="0" applyProtection="1">
      <protection locked="0"/>
    </xf>
    <xf numFmtId="0" fontId="9" fillId="10" borderId="10" xfId="0" applyFont="1" applyFill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0" fontId="15" fillId="14" borderId="5" xfId="0" applyFont="1" applyFill="1" applyBorder="1" applyAlignment="1">
      <alignment horizontal="center" vertical="center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9" xfId="0" applyBorder="1"/>
    <xf numFmtId="0" fontId="0" fillId="0" borderId="13" xfId="0" applyBorder="1"/>
    <xf numFmtId="0" fontId="8" fillId="8" borderId="0" xfId="0" applyFont="1" applyFill="1" applyAlignment="1" applyProtection="1">
      <alignment horizontal="left" vertical="center"/>
      <protection locked="0"/>
    </xf>
    <xf numFmtId="0" fontId="10" fillId="11" borderId="5" xfId="0" applyFont="1" applyFill="1" applyBorder="1" applyAlignment="1">
      <alignment horizontal="center" vertical="center"/>
    </xf>
    <xf numFmtId="0" fontId="9" fillId="10" borderId="14" xfId="0" applyFont="1" applyFill="1" applyBorder="1" applyAlignment="1" applyProtection="1">
      <alignment horizontal="center" vertical="center" wrapText="1"/>
      <protection locked="0"/>
    </xf>
    <xf numFmtId="0" fontId="0" fillId="0" borderId="9" xfId="0" applyBorder="1" applyProtection="1">
      <protection locked="0"/>
    </xf>
    <xf numFmtId="0" fontId="14" fillId="8" borderId="0" xfId="0" applyFont="1" applyFill="1" applyAlignment="1" applyProtection="1">
      <alignment horizontal="left" vertical="top"/>
      <protection locked="0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38100</xdr:colOff>
      <xdr:row>8</xdr:row>
      <xdr:rowOff>19050</xdr:rowOff>
    </xdr:from>
    <xdr:ext cx="495300" cy="495300"/>
    <xdr:pic>
      <xdr:nvPicPr>
        <xdr:cNvPr id="2" name="image2.png" title="Imagen">
          <a:extLst>
            <a:ext uri="{FF2B5EF4-FFF2-40B4-BE49-F238E27FC236}">
              <a16:creationId xmlns:a16="http://schemas.microsoft.com/office/drawing/2014/main" id="{C3BD39E7-863C-4BAC-94FD-AF6BAE1CBBB2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391150" y="1771650"/>
          <a:ext cx="495300" cy="4953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285750</xdr:colOff>
      <xdr:row>0</xdr:row>
      <xdr:rowOff>76200</xdr:rowOff>
    </xdr:from>
    <xdr:to>
      <xdr:col>2</xdr:col>
      <xdr:colOff>494826</xdr:colOff>
      <xdr:row>3</xdr:row>
      <xdr:rowOff>47624</xdr:rowOff>
    </xdr:to>
    <xdr:pic>
      <xdr:nvPicPr>
        <xdr:cNvPr id="3" name="Imagem 2" descr="Nextt Soluções">
          <a:extLst>
            <a:ext uri="{FF2B5EF4-FFF2-40B4-BE49-F238E27FC236}">
              <a16:creationId xmlns:a16="http://schemas.microsoft.com/office/drawing/2014/main" id="{4A36CE6C-B1A7-D444-FDCE-C0A9710062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0" y="76200"/>
          <a:ext cx="1428276" cy="685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O50"/>
  <sheetViews>
    <sheetView workbookViewId="0">
      <selection activeCell="G21" sqref="G21"/>
    </sheetView>
  </sheetViews>
  <sheetFormatPr defaultRowHeight="15" x14ac:dyDescent="0.25"/>
  <cols>
    <col min="4" max="4" width="34.5703125" customWidth="1"/>
    <col min="9" max="9" width="12.28515625" customWidth="1"/>
    <col min="13" max="13" width="17" customWidth="1"/>
  </cols>
  <sheetData>
    <row r="1" spans="1:15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6.25" customHeight="1" x14ac:dyDescent="0.35">
      <c r="A2" s="1"/>
      <c r="B2" s="1"/>
      <c r="C2" s="1"/>
      <c r="D2" s="2" t="s">
        <v>0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15" customHeight="1" x14ac:dyDescent="0.25">
      <c r="A3" s="1"/>
      <c r="B3" s="1"/>
      <c r="C3" s="1"/>
      <c r="D3" s="3" t="s">
        <v>1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15" customHeight="1" x14ac:dyDescent="0.25">
      <c r="A4" s="50"/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  <c r="O4" s="49"/>
    </row>
    <row r="5" spans="1:15" ht="3" customHeight="1" x14ac:dyDescent="0.25">
      <c r="A5" s="48"/>
      <c r="B5" s="49"/>
      <c r="C5" s="49"/>
      <c r="D5" s="49"/>
      <c r="E5" s="49"/>
      <c r="F5" s="49"/>
      <c r="G5" s="49"/>
      <c r="H5" s="49"/>
      <c r="I5" s="49"/>
      <c r="J5" s="49"/>
      <c r="K5" s="49"/>
      <c r="L5" s="49"/>
      <c r="M5" s="49"/>
      <c r="N5" s="49"/>
      <c r="O5" s="49"/>
    </row>
    <row r="6" spans="1:15" ht="30.75" customHeight="1" x14ac:dyDescent="0.25">
      <c r="A6" s="4"/>
      <c r="B6" s="4"/>
      <c r="C6" s="4"/>
      <c r="D6" s="4"/>
      <c r="E6" s="54"/>
      <c r="F6" s="53"/>
      <c r="G6" s="53"/>
      <c r="H6" s="49"/>
      <c r="I6" s="49"/>
      <c r="J6" s="49"/>
      <c r="K6" s="49"/>
      <c r="L6" s="49"/>
      <c r="M6" s="49"/>
      <c r="N6" s="49"/>
      <c r="O6" s="49"/>
    </row>
    <row r="7" spans="1:15" ht="18" customHeight="1" x14ac:dyDescent="0.25">
      <c r="A7" s="4"/>
      <c r="B7" s="55" t="s">
        <v>2</v>
      </c>
      <c r="C7" s="49"/>
      <c r="D7" s="4"/>
      <c r="E7" s="49"/>
      <c r="F7" s="49"/>
      <c r="G7" s="52" t="s">
        <v>3</v>
      </c>
      <c r="H7" s="49"/>
      <c r="I7" s="49"/>
      <c r="J7" s="5"/>
      <c r="K7" s="5"/>
      <c r="L7" s="5"/>
      <c r="M7" s="5"/>
      <c r="N7" s="5"/>
      <c r="O7" s="5"/>
    </row>
    <row r="8" spans="1:15" x14ac:dyDescent="0.25">
      <c r="A8" s="4"/>
      <c r="B8" s="54"/>
      <c r="C8" s="49"/>
      <c r="D8" s="49"/>
      <c r="E8" s="49"/>
      <c r="F8" s="49"/>
      <c r="G8" s="5"/>
      <c r="H8" s="5"/>
      <c r="I8" s="5"/>
      <c r="J8" s="5"/>
      <c r="K8" s="5"/>
      <c r="L8" s="5"/>
      <c r="M8" s="5"/>
      <c r="N8" s="5"/>
      <c r="O8" s="5"/>
    </row>
    <row r="9" spans="1:15" x14ac:dyDescent="0.25">
      <c r="A9" s="4"/>
      <c r="B9" s="51" t="s">
        <v>4</v>
      </c>
      <c r="C9" s="49"/>
      <c r="D9" s="4"/>
      <c r="E9" s="49"/>
      <c r="F9" s="49"/>
      <c r="G9" s="5"/>
      <c r="H9" s="5"/>
      <c r="I9" s="5"/>
      <c r="J9" s="5"/>
      <c r="K9" s="5"/>
      <c r="L9" s="5"/>
      <c r="M9" s="5"/>
      <c r="N9" s="5"/>
      <c r="O9" s="5"/>
    </row>
    <row r="10" spans="1:15" x14ac:dyDescent="0.25">
      <c r="A10" s="4"/>
      <c r="B10" s="51" t="s">
        <v>5</v>
      </c>
      <c r="C10" s="49"/>
      <c r="D10" s="4"/>
      <c r="E10" s="49"/>
      <c r="F10" s="49"/>
      <c r="G10" s="5"/>
      <c r="H10" s="56" t="s">
        <v>6</v>
      </c>
      <c r="I10" s="49"/>
      <c r="J10" s="49"/>
      <c r="K10" s="49"/>
      <c r="L10" s="49"/>
      <c r="M10" s="49"/>
      <c r="N10" s="5"/>
      <c r="O10" s="5"/>
    </row>
    <row r="11" spans="1:15" x14ac:dyDescent="0.25">
      <c r="A11" s="4"/>
      <c r="B11" s="51" t="s">
        <v>7</v>
      </c>
      <c r="C11" s="49"/>
      <c r="D11" s="4"/>
      <c r="E11" s="49"/>
      <c r="F11" s="49"/>
      <c r="G11" s="5"/>
      <c r="H11" s="5"/>
      <c r="I11" s="5"/>
      <c r="J11" s="5"/>
      <c r="K11" s="5"/>
      <c r="L11" s="5"/>
      <c r="M11" s="5"/>
      <c r="N11" s="5"/>
      <c r="O11" s="5"/>
    </row>
    <row r="12" spans="1:15" x14ac:dyDescent="0.25">
      <c r="A12" s="4"/>
      <c r="B12" s="4"/>
      <c r="C12" s="4"/>
      <c r="D12" s="4"/>
      <c r="E12" s="49"/>
      <c r="F12" s="49"/>
      <c r="G12" s="5"/>
      <c r="H12" s="5"/>
      <c r="I12" s="5"/>
      <c r="J12" s="5"/>
      <c r="K12" s="5"/>
      <c r="L12" s="5"/>
      <c r="M12" s="5"/>
      <c r="N12" s="5"/>
      <c r="O12" s="5"/>
    </row>
    <row r="13" spans="1:15" ht="18" x14ac:dyDescent="0.25">
      <c r="A13" s="4"/>
      <c r="B13" s="4"/>
      <c r="C13" s="4"/>
      <c r="D13" s="4"/>
      <c r="E13" s="49"/>
      <c r="F13" s="49"/>
      <c r="G13" s="57" t="s">
        <v>45</v>
      </c>
      <c r="H13" s="58"/>
      <c r="I13" s="58"/>
      <c r="J13" s="58"/>
      <c r="K13" s="58"/>
      <c r="L13" s="58"/>
      <c r="M13" s="58"/>
      <c r="N13" s="58"/>
      <c r="O13" s="5"/>
    </row>
    <row r="14" spans="1:15" x14ac:dyDescent="0.25">
      <c r="A14" s="4"/>
      <c r="B14" s="4"/>
      <c r="C14" s="4"/>
      <c r="D14" s="4"/>
      <c r="E14" s="49"/>
      <c r="F14" s="49"/>
      <c r="G14" s="5"/>
      <c r="H14" s="5"/>
      <c r="I14" s="5"/>
      <c r="J14" s="5"/>
      <c r="K14" s="5"/>
      <c r="L14" s="5"/>
      <c r="M14" s="5"/>
      <c r="N14" s="5"/>
      <c r="O14" s="5"/>
    </row>
    <row r="15" spans="1:15" x14ac:dyDescent="0.25">
      <c r="A15" s="4"/>
      <c r="B15" s="4"/>
      <c r="C15" s="4"/>
      <c r="D15" s="4"/>
      <c r="E15" s="49"/>
      <c r="F15" s="49"/>
      <c r="G15" s="46" t="s">
        <v>46</v>
      </c>
      <c r="H15" s="5"/>
      <c r="I15" s="5"/>
      <c r="J15" s="5"/>
      <c r="K15" s="5"/>
      <c r="L15" s="5"/>
      <c r="M15" s="5"/>
      <c r="N15" s="5"/>
      <c r="O15" s="5"/>
    </row>
    <row r="16" spans="1:15" x14ac:dyDescent="0.25">
      <c r="A16" s="4"/>
      <c r="B16" s="4"/>
      <c r="C16" s="4"/>
      <c r="D16" s="4"/>
      <c r="E16" s="49"/>
      <c r="F16" s="49"/>
      <c r="G16" s="5"/>
      <c r="H16" s="5"/>
      <c r="I16" s="5"/>
      <c r="J16" s="5"/>
      <c r="K16" s="5"/>
      <c r="L16" s="5"/>
      <c r="M16" s="5"/>
      <c r="N16" s="5"/>
      <c r="O16" s="5"/>
    </row>
    <row r="17" spans="1:15" ht="15.75" x14ac:dyDescent="0.25">
      <c r="A17" s="4"/>
      <c r="B17" s="4"/>
      <c r="C17" s="4"/>
      <c r="D17" s="4"/>
      <c r="E17" s="49"/>
      <c r="F17" s="49"/>
      <c r="G17" s="47"/>
      <c r="H17" s="59" t="s">
        <v>47</v>
      </c>
      <c r="I17" s="58"/>
      <c r="J17" s="58"/>
      <c r="K17" s="58"/>
      <c r="L17" s="58"/>
      <c r="M17" s="58"/>
      <c r="N17" s="5"/>
      <c r="O17" s="5"/>
    </row>
    <row r="18" spans="1:15" x14ac:dyDescent="0.25">
      <c r="A18" s="4"/>
      <c r="B18" s="4"/>
      <c r="C18" s="4"/>
      <c r="D18" s="4"/>
      <c r="E18" s="49"/>
      <c r="F18" s="49"/>
      <c r="G18" s="5"/>
      <c r="H18" s="60"/>
      <c r="I18" s="60"/>
      <c r="J18" s="60"/>
      <c r="K18" s="60"/>
      <c r="L18" s="60"/>
      <c r="M18" s="58"/>
      <c r="N18" s="5"/>
      <c r="O18" s="5"/>
    </row>
    <row r="19" spans="1:15" x14ac:dyDescent="0.25">
      <c r="A19" s="4"/>
      <c r="B19" s="4"/>
      <c r="C19" s="4"/>
      <c r="D19" s="4"/>
      <c r="E19" s="49"/>
      <c r="F19" s="49"/>
      <c r="G19" s="5"/>
      <c r="H19" s="60"/>
      <c r="I19" s="60"/>
      <c r="J19" s="60"/>
      <c r="K19" s="60"/>
      <c r="L19" s="60"/>
      <c r="M19" s="58"/>
      <c r="N19" s="5"/>
      <c r="O19" s="5"/>
    </row>
    <row r="20" spans="1:15" x14ac:dyDescent="0.25">
      <c r="A20" s="4"/>
      <c r="B20" s="4"/>
      <c r="C20" s="4"/>
      <c r="D20" s="4"/>
      <c r="E20" s="49"/>
      <c r="F20" s="49"/>
      <c r="G20" s="5"/>
      <c r="H20" s="5"/>
      <c r="I20" s="5"/>
      <c r="J20" s="5"/>
      <c r="K20" s="5"/>
      <c r="L20" s="5"/>
      <c r="M20" s="5"/>
      <c r="N20" s="5"/>
      <c r="O20" s="5"/>
    </row>
    <row r="21" spans="1:15" x14ac:dyDescent="0.25">
      <c r="A21" s="4"/>
      <c r="B21" s="4"/>
      <c r="C21" s="4"/>
      <c r="D21" s="4"/>
      <c r="E21" s="49"/>
      <c r="F21" s="49"/>
      <c r="G21" s="5"/>
      <c r="H21" s="5"/>
      <c r="I21" s="5"/>
      <c r="J21" s="5"/>
      <c r="K21" s="5"/>
      <c r="L21" s="5"/>
      <c r="M21" s="5"/>
      <c r="N21" s="5"/>
      <c r="O21" s="5"/>
    </row>
    <row r="22" spans="1:15" x14ac:dyDescent="0.25">
      <c r="A22" s="4"/>
      <c r="B22" s="4"/>
      <c r="C22" s="4"/>
      <c r="D22" s="4"/>
      <c r="E22" s="49"/>
      <c r="F22" s="49"/>
      <c r="G22" s="5"/>
      <c r="H22" s="5"/>
      <c r="I22" s="5"/>
      <c r="J22" s="5"/>
      <c r="K22" s="5"/>
      <c r="L22" s="5"/>
      <c r="M22" s="5"/>
      <c r="N22" s="5"/>
      <c r="O22" s="5"/>
    </row>
    <row r="23" spans="1:15" x14ac:dyDescent="0.25">
      <c r="A23" s="4"/>
      <c r="B23" s="4"/>
      <c r="C23" s="4"/>
      <c r="D23" s="4"/>
      <c r="E23" s="49"/>
      <c r="F23" s="49"/>
      <c r="G23" s="5"/>
      <c r="H23" s="5"/>
      <c r="I23" s="5"/>
      <c r="J23" s="5"/>
      <c r="K23" s="5"/>
      <c r="L23" s="5"/>
      <c r="M23" s="5"/>
      <c r="N23" s="5"/>
      <c r="O23" s="5"/>
    </row>
    <row r="24" spans="1:15" x14ac:dyDescent="0.25">
      <c r="A24" s="4"/>
      <c r="B24" s="4"/>
      <c r="C24" s="4"/>
      <c r="D24" s="4"/>
      <c r="E24" s="49"/>
      <c r="F24" s="49"/>
      <c r="G24" s="5"/>
      <c r="H24" s="5"/>
      <c r="I24" s="5"/>
      <c r="J24" s="5"/>
      <c r="K24" s="5"/>
      <c r="L24" s="5"/>
      <c r="M24" s="5"/>
      <c r="N24" s="5"/>
      <c r="O24" s="5"/>
    </row>
    <row r="25" spans="1:15" x14ac:dyDescent="0.25">
      <c r="A25" s="4"/>
      <c r="B25" s="4"/>
      <c r="C25" s="4"/>
      <c r="D25" s="4"/>
      <c r="E25" s="49"/>
      <c r="F25" s="49"/>
      <c r="G25" s="5"/>
      <c r="H25" s="5"/>
      <c r="I25" s="5"/>
      <c r="J25" s="5"/>
      <c r="K25" s="5"/>
      <c r="L25" s="5"/>
      <c r="M25" s="5"/>
      <c r="N25" s="5"/>
      <c r="O25" s="5"/>
    </row>
    <row r="26" spans="1:15" x14ac:dyDescent="0.25">
      <c r="A26" s="4"/>
      <c r="B26" s="4"/>
      <c r="C26" s="4"/>
      <c r="D26" s="4"/>
      <c r="E26" s="49"/>
      <c r="F26" s="49"/>
      <c r="G26" s="5"/>
      <c r="H26" s="5"/>
      <c r="I26" s="5"/>
      <c r="J26" s="5"/>
      <c r="K26" s="5"/>
      <c r="L26" s="5"/>
      <c r="M26" s="5"/>
      <c r="N26" s="5"/>
      <c r="O26" s="5"/>
    </row>
    <row r="27" spans="1:15" x14ac:dyDescent="0.25">
      <c r="A27" s="4"/>
      <c r="B27" s="4"/>
      <c r="C27" s="4"/>
      <c r="D27" s="4"/>
      <c r="E27" s="49"/>
      <c r="F27" s="49"/>
      <c r="G27" s="5"/>
      <c r="H27" s="5"/>
      <c r="I27" s="5"/>
      <c r="J27" s="5"/>
      <c r="K27" s="5"/>
      <c r="L27" s="5"/>
      <c r="M27" s="5"/>
      <c r="N27" s="5"/>
      <c r="O27" s="5"/>
    </row>
    <row r="28" spans="1:15" x14ac:dyDescent="0.25">
      <c r="A28" s="4"/>
      <c r="B28" s="4"/>
      <c r="C28" s="4"/>
      <c r="D28" s="4"/>
      <c r="E28" s="49"/>
      <c r="F28" s="49"/>
      <c r="G28" s="5"/>
      <c r="H28" s="5"/>
      <c r="I28" s="5"/>
      <c r="J28" s="5"/>
      <c r="K28" s="5"/>
      <c r="L28" s="5"/>
      <c r="M28" s="5"/>
      <c r="N28" s="5"/>
      <c r="O28" s="5"/>
    </row>
    <row r="29" spans="1:15" x14ac:dyDescent="0.25">
      <c r="A29" s="4"/>
      <c r="B29" s="4"/>
      <c r="C29" s="4"/>
      <c r="D29" s="4"/>
      <c r="E29" s="49"/>
      <c r="F29" s="49"/>
      <c r="G29" s="5"/>
      <c r="H29" s="5"/>
      <c r="I29" s="5"/>
      <c r="J29" s="5"/>
      <c r="K29" s="5"/>
      <c r="L29" s="5"/>
      <c r="M29" s="5"/>
      <c r="N29" s="5"/>
      <c r="O29" s="5"/>
    </row>
    <row r="30" spans="1:15" x14ac:dyDescent="0.25">
      <c r="A30" s="4"/>
      <c r="B30" s="4"/>
      <c r="C30" s="4"/>
      <c r="D30" s="4"/>
      <c r="E30" s="49"/>
      <c r="F30" s="49"/>
      <c r="G30" s="5"/>
      <c r="H30" s="5"/>
      <c r="I30" s="5"/>
      <c r="J30" s="5"/>
      <c r="K30" s="5"/>
      <c r="L30" s="5"/>
      <c r="M30" s="5"/>
      <c r="N30" s="5"/>
      <c r="O30" s="5"/>
    </row>
    <row r="31" spans="1:15" x14ac:dyDescent="0.25">
      <c r="A31" s="4"/>
      <c r="B31" s="4"/>
      <c r="C31" s="4"/>
      <c r="D31" s="4"/>
      <c r="E31" s="49"/>
      <c r="F31" s="49"/>
      <c r="G31" s="5"/>
      <c r="H31" s="5"/>
      <c r="I31" s="5"/>
      <c r="J31" s="5"/>
      <c r="K31" s="5"/>
      <c r="L31" s="5"/>
      <c r="M31" s="5"/>
      <c r="N31" s="5"/>
      <c r="O31" s="5"/>
    </row>
    <row r="32" spans="1:15" x14ac:dyDescent="0.25">
      <c r="A32" s="4"/>
      <c r="B32" s="4"/>
      <c r="C32" s="4"/>
      <c r="D32" s="4"/>
      <c r="E32" s="49"/>
      <c r="F32" s="49"/>
      <c r="G32" s="5"/>
      <c r="H32" s="5"/>
      <c r="I32" s="5"/>
      <c r="J32" s="5"/>
      <c r="K32" s="5"/>
      <c r="L32" s="5"/>
      <c r="M32" s="5"/>
      <c r="N32" s="5"/>
      <c r="O32" s="5"/>
    </row>
    <row r="33" spans="1:15" x14ac:dyDescent="0.25">
      <c r="A33" s="4"/>
      <c r="B33" s="4"/>
      <c r="C33" s="4"/>
      <c r="D33" s="4"/>
      <c r="E33" s="49"/>
      <c r="F33" s="49"/>
      <c r="G33" s="5"/>
      <c r="H33" s="5"/>
      <c r="I33" s="5"/>
      <c r="J33" s="5"/>
      <c r="K33" s="5"/>
      <c r="L33" s="5"/>
      <c r="M33" s="5"/>
      <c r="N33" s="5"/>
      <c r="O33" s="5"/>
    </row>
    <row r="34" spans="1:15" x14ac:dyDescent="0.25">
      <c r="A34" s="4"/>
      <c r="B34" s="4"/>
      <c r="C34" s="4"/>
      <c r="D34" s="4"/>
      <c r="E34" s="49"/>
      <c r="F34" s="49"/>
      <c r="G34" s="5"/>
      <c r="H34" s="5"/>
      <c r="I34" s="5"/>
      <c r="J34" s="5"/>
      <c r="K34" s="5"/>
      <c r="L34" s="5"/>
      <c r="M34" s="5"/>
      <c r="N34" s="5"/>
      <c r="O34" s="5"/>
    </row>
    <row r="35" spans="1:15" x14ac:dyDescent="0.25">
      <c r="A35" s="4"/>
      <c r="B35" s="4"/>
      <c r="C35" s="4"/>
      <c r="D35" s="4"/>
      <c r="E35" s="49"/>
      <c r="F35" s="49"/>
      <c r="G35" s="5"/>
      <c r="H35" s="5"/>
      <c r="I35" s="5"/>
      <c r="J35" s="5"/>
      <c r="K35" s="5"/>
      <c r="L35" s="5"/>
      <c r="M35" s="5"/>
      <c r="N35" s="5"/>
      <c r="O35" s="5"/>
    </row>
    <row r="36" spans="1:15" x14ac:dyDescent="0.25">
      <c r="A36" s="4"/>
      <c r="B36" s="4"/>
      <c r="C36" s="4"/>
      <c r="D36" s="4"/>
      <c r="E36" s="49"/>
      <c r="F36" s="49"/>
      <c r="G36" s="5"/>
      <c r="H36" s="5"/>
      <c r="I36" s="5"/>
      <c r="J36" s="5"/>
      <c r="K36" s="5"/>
      <c r="L36" s="5"/>
      <c r="M36" s="5"/>
      <c r="N36" s="5"/>
      <c r="O36" s="5"/>
    </row>
    <row r="37" spans="1:15" x14ac:dyDescent="0.25">
      <c r="A37" s="4"/>
      <c r="B37" s="4"/>
      <c r="C37" s="4"/>
      <c r="D37" s="4"/>
      <c r="E37" s="49"/>
      <c r="F37" s="49"/>
      <c r="G37" s="5"/>
      <c r="H37" s="5"/>
      <c r="I37" s="5"/>
      <c r="J37" s="5"/>
      <c r="K37" s="5"/>
      <c r="L37" s="5"/>
      <c r="M37" s="5"/>
      <c r="N37" s="5"/>
      <c r="O37" s="5"/>
    </row>
    <row r="38" spans="1:15" x14ac:dyDescent="0.25">
      <c r="A38" s="4"/>
      <c r="B38" s="4"/>
      <c r="C38" s="4"/>
      <c r="D38" s="4"/>
      <c r="E38" s="49"/>
      <c r="F38" s="49"/>
      <c r="G38" s="5"/>
      <c r="H38" s="5"/>
      <c r="I38" s="5"/>
      <c r="J38" s="5"/>
      <c r="K38" s="5"/>
      <c r="L38" s="5"/>
      <c r="M38" s="5"/>
      <c r="N38" s="5"/>
      <c r="O38" s="5"/>
    </row>
    <row r="39" spans="1:15" x14ac:dyDescent="0.25">
      <c r="A39" s="4"/>
      <c r="B39" s="4"/>
      <c r="C39" s="4"/>
      <c r="D39" s="4"/>
      <c r="E39" s="49"/>
      <c r="F39" s="49"/>
      <c r="G39" s="5"/>
      <c r="H39" s="5"/>
      <c r="I39" s="5"/>
      <c r="J39" s="5"/>
      <c r="K39" s="5"/>
      <c r="L39" s="5"/>
      <c r="M39" s="5"/>
      <c r="N39" s="5"/>
      <c r="O39" s="5"/>
    </row>
    <row r="40" spans="1:15" x14ac:dyDescent="0.25">
      <c r="A40" s="4"/>
      <c r="B40" s="4"/>
      <c r="C40" s="4"/>
      <c r="D40" s="4"/>
      <c r="E40" s="49"/>
      <c r="F40" s="49"/>
      <c r="G40" s="5"/>
      <c r="H40" s="5"/>
      <c r="I40" s="5"/>
      <c r="J40" s="5"/>
      <c r="K40" s="5"/>
      <c r="L40" s="5"/>
      <c r="M40" s="5"/>
      <c r="N40" s="5"/>
      <c r="O40" s="5"/>
    </row>
    <row r="41" spans="1:15" x14ac:dyDescent="0.25">
      <c r="A41" s="4"/>
      <c r="B41" s="4"/>
      <c r="C41" s="4"/>
      <c r="D41" s="4"/>
      <c r="E41" s="49"/>
      <c r="F41" s="49"/>
      <c r="G41" s="5"/>
      <c r="H41" s="5"/>
      <c r="I41" s="5"/>
      <c r="J41" s="5"/>
      <c r="K41" s="5"/>
      <c r="L41" s="5"/>
      <c r="M41" s="5"/>
      <c r="N41" s="5"/>
      <c r="O41" s="5"/>
    </row>
    <row r="42" spans="1:15" x14ac:dyDescent="0.25">
      <c r="A42" s="4"/>
      <c r="B42" s="4"/>
      <c r="C42" s="4"/>
      <c r="D42" s="4"/>
      <c r="E42" s="49"/>
      <c r="F42" s="49"/>
      <c r="G42" s="5"/>
      <c r="H42" s="5"/>
      <c r="I42" s="5"/>
      <c r="J42" s="5"/>
      <c r="K42" s="5"/>
      <c r="L42" s="5"/>
      <c r="M42" s="5"/>
      <c r="N42" s="5"/>
      <c r="O42" s="5"/>
    </row>
    <row r="43" spans="1:15" x14ac:dyDescent="0.25">
      <c r="A43" s="4"/>
      <c r="B43" s="4"/>
      <c r="C43" s="4"/>
      <c r="D43" s="4"/>
      <c r="E43" s="49"/>
      <c r="F43" s="49"/>
      <c r="G43" s="5"/>
      <c r="H43" s="5"/>
      <c r="I43" s="5"/>
      <c r="J43" s="5"/>
      <c r="K43" s="5"/>
      <c r="L43" s="5"/>
      <c r="M43" s="5"/>
      <c r="N43" s="5"/>
      <c r="O43" s="5"/>
    </row>
    <row r="44" spans="1:15" x14ac:dyDescent="0.25">
      <c r="A44" s="4"/>
      <c r="B44" s="4"/>
      <c r="C44" s="4"/>
      <c r="D44" s="4"/>
      <c r="E44" s="49"/>
      <c r="F44" s="49"/>
      <c r="G44" s="5"/>
      <c r="H44" s="5"/>
      <c r="I44" s="5"/>
      <c r="J44" s="5"/>
      <c r="K44" s="5"/>
      <c r="L44" s="5"/>
      <c r="M44" s="5"/>
      <c r="N44" s="5"/>
      <c r="O44" s="5"/>
    </row>
    <row r="45" spans="1:15" x14ac:dyDescent="0.25">
      <c r="A45" s="4"/>
      <c r="B45" s="4"/>
      <c r="C45" s="4"/>
      <c r="D45" s="4"/>
      <c r="E45" s="49"/>
      <c r="F45" s="49"/>
      <c r="G45" s="5"/>
      <c r="H45" s="5"/>
      <c r="I45" s="5"/>
      <c r="J45" s="5"/>
      <c r="K45" s="5"/>
      <c r="L45" s="5"/>
      <c r="M45" s="5"/>
      <c r="N45" s="5"/>
      <c r="O45" s="5"/>
    </row>
    <row r="46" spans="1:15" x14ac:dyDescent="0.25">
      <c r="A46" s="4"/>
      <c r="B46" s="4"/>
      <c r="C46" s="4"/>
      <c r="D46" s="4"/>
      <c r="E46" s="49"/>
      <c r="F46" s="49"/>
      <c r="G46" s="5"/>
      <c r="H46" s="5"/>
      <c r="I46" s="5"/>
      <c r="J46" s="5"/>
      <c r="K46" s="5"/>
      <c r="L46" s="5"/>
      <c r="M46" s="5"/>
      <c r="N46" s="5"/>
      <c r="O46" s="5"/>
    </row>
    <row r="47" spans="1:15" x14ac:dyDescent="0.25">
      <c r="A47" s="4"/>
      <c r="B47" s="4"/>
      <c r="C47" s="4"/>
      <c r="D47" s="4"/>
      <c r="E47" s="49"/>
      <c r="F47" s="49"/>
      <c r="G47" s="5"/>
      <c r="H47" s="5"/>
      <c r="I47" s="5"/>
      <c r="J47" s="5"/>
      <c r="K47" s="5"/>
      <c r="L47" s="5"/>
      <c r="M47" s="5"/>
      <c r="N47" s="5"/>
      <c r="O47" s="5"/>
    </row>
    <row r="48" spans="1:15" x14ac:dyDescent="0.25">
      <c r="A48" s="4"/>
      <c r="B48" s="4"/>
      <c r="C48" s="4"/>
      <c r="D48" s="4"/>
      <c r="E48" s="49"/>
      <c r="F48" s="49"/>
      <c r="G48" s="5"/>
      <c r="H48" s="5"/>
      <c r="I48" s="5"/>
      <c r="J48" s="5"/>
      <c r="K48" s="5"/>
      <c r="L48" s="5"/>
      <c r="M48" s="5"/>
      <c r="N48" s="5"/>
      <c r="O48" s="5"/>
    </row>
    <row r="49" spans="1:15" x14ac:dyDescent="0.25">
      <c r="A49" s="4"/>
      <c r="B49" s="4"/>
      <c r="C49" s="4"/>
      <c r="D49" s="4"/>
      <c r="E49" s="49"/>
      <c r="F49" s="49"/>
      <c r="G49" s="5"/>
      <c r="H49" s="5"/>
      <c r="I49" s="5"/>
      <c r="J49" s="5"/>
      <c r="K49" s="5"/>
      <c r="L49" s="5"/>
      <c r="M49" s="5"/>
      <c r="N49" s="5"/>
      <c r="O49" s="5"/>
    </row>
    <row r="50" spans="1:15" x14ac:dyDescent="0.25">
      <c r="A50" s="4"/>
      <c r="B50" s="4"/>
      <c r="C50" s="4"/>
      <c r="D50" s="4"/>
      <c r="E50" s="49"/>
      <c r="F50" s="49"/>
      <c r="G50" s="5"/>
      <c r="H50" s="5"/>
      <c r="I50" s="5"/>
      <c r="J50" s="5"/>
      <c r="K50" s="5"/>
      <c r="L50" s="5"/>
      <c r="M50" s="5"/>
      <c r="N50" s="5"/>
      <c r="O50" s="5"/>
    </row>
  </sheetData>
  <sheetProtection formatCells="0" formatColumns="0" formatRows="0" insertColumns="0" insertRows="0" insertHyperlinks="0" deleteColumns="0" deleteRows="0" sort="0" autoFilter="0" pivotTables="0"/>
  <mergeCells count="14">
    <mergeCell ref="A5:O5"/>
    <mergeCell ref="A4:O4"/>
    <mergeCell ref="B9:C9"/>
    <mergeCell ref="G7:I7"/>
    <mergeCell ref="F6:F50"/>
    <mergeCell ref="E6:E50"/>
    <mergeCell ref="B7:C7"/>
    <mergeCell ref="B11:C11"/>
    <mergeCell ref="H10:M10"/>
    <mergeCell ref="B8:D8"/>
    <mergeCell ref="B10:C10"/>
    <mergeCell ref="G6:O6"/>
    <mergeCell ref="G13:N13"/>
    <mergeCell ref="H17:M19"/>
  </mergeCells>
  <hyperlinks>
    <hyperlink ref="B9" location="'Cadastro de Produtos'!A1" display="Cadastro de Produtos" xr:uid="{00000000-0004-0000-0000-000000000000}"/>
    <hyperlink ref="B10" location="'Cadastro de Pedidos'!A1" display="Cadastro de Pedidos" xr:uid="{00000000-0004-0000-0000-000001000000}"/>
    <hyperlink ref="B11" location="'Cadastro de Marcas'!A1" display="Cadastro de Marcas" xr:uid="{00000000-0004-0000-0000-000002000000}"/>
  </hyperlink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AF5946"/>
  <sheetViews>
    <sheetView tabSelected="1" zoomScaleNormal="100" workbookViewId="0">
      <pane ySplit="6" topLeftCell="A7" activePane="bottomLeft" state="frozen"/>
      <selection pane="bottomLeft" activeCell="AA8" sqref="AA8"/>
    </sheetView>
  </sheetViews>
  <sheetFormatPr defaultRowHeight="20.100000000000001" customHeight="1" x14ac:dyDescent="0.25"/>
  <cols>
    <col min="1" max="1" width="38.85546875" bestFit="1" customWidth="1"/>
    <col min="2" max="2" width="40" bestFit="1" customWidth="1"/>
    <col min="3" max="3" width="45.42578125" bestFit="1" customWidth="1"/>
    <col min="4" max="4" width="46.42578125" customWidth="1"/>
    <col min="5" max="5" width="38.85546875" bestFit="1" customWidth="1"/>
    <col min="6" max="6" width="12.28515625" bestFit="1" customWidth="1"/>
    <col min="7" max="7" width="13.42578125" bestFit="1" customWidth="1"/>
    <col min="8" max="8" width="40.7109375" bestFit="1" customWidth="1"/>
    <col min="9" max="9" width="12.85546875" hidden="1" customWidth="1"/>
    <col min="10" max="10" width="13.5703125" bestFit="1" customWidth="1"/>
    <col min="11" max="11" width="17.42578125" bestFit="1" customWidth="1"/>
    <col min="12" max="12" width="10.42578125" bestFit="1" customWidth="1"/>
    <col min="13" max="13" width="13.42578125" bestFit="1" customWidth="1"/>
    <col min="14" max="14" width="6.85546875" bestFit="1" customWidth="1"/>
    <col min="15" max="15" width="4.7109375" bestFit="1" customWidth="1"/>
    <col min="16" max="16" width="43" bestFit="1" customWidth="1"/>
    <col min="17" max="27" width="9.140625" customWidth="1"/>
    <col min="28" max="28" width="10.140625" customWidth="1"/>
    <col min="29" max="29" width="9.140625" customWidth="1"/>
    <col min="30" max="30" width="17.42578125" bestFit="1" customWidth="1"/>
    <col min="31" max="31" width="14" bestFit="1" customWidth="1"/>
  </cols>
  <sheetData>
    <row r="1" spans="1:32" ht="15" customHeight="1" x14ac:dyDescent="0.25">
      <c r="A1" s="61" t="s">
        <v>8</v>
      </c>
      <c r="B1" s="62"/>
      <c r="C1" s="62"/>
      <c r="D1" s="62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72" t="s">
        <v>9</v>
      </c>
      <c r="R1" s="66"/>
      <c r="S1" s="66"/>
      <c r="T1" s="66"/>
      <c r="U1" s="66"/>
      <c r="V1" s="66"/>
      <c r="W1" s="66"/>
      <c r="X1" s="67"/>
      <c r="Y1" s="65" t="s">
        <v>10</v>
      </c>
      <c r="Z1" s="66"/>
      <c r="AA1" s="66"/>
      <c r="AB1" s="66"/>
      <c r="AC1" s="66"/>
      <c r="AD1" s="66"/>
      <c r="AE1" s="67"/>
    </row>
    <row r="2" spans="1:32" ht="30" customHeight="1" x14ac:dyDescent="0.25">
      <c r="A2" s="71" t="s">
        <v>44</v>
      </c>
      <c r="B2" s="62"/>
      <c r="C2" s="62"/>
      <c r="D2" s="62"/>
      <c r="Q2" s="69"/>
      <c r="R2" s="69"/>
      <c r="S2" s="69"/>
      <c r="T2" s="69"/>
      <c r="U2" s="69"/>
      <c r="V2" s="69"/>
      <c r="W2" s="69"/>
      <c r="X2" s="70"/>
      <c r="Y2" s="68"/>
      <c r="Z2" s="69"/>
      <c r="AA2" s="69"/>
      <c r="AB2" s="69"/>
      <c r="AC2" s="69"/>
      <c r="AD2" s="69"/>
      <c r="AE2" s="70"/>
    </row>
    <row r="3" spans="1:32" ht="30" customHeight="1" x14ac:dyDescent="0.25">
      <c r="A3" s="7" t="s">
        <v>11</v>
      </c>
      <c r="B3" s="7" t="s">
        <v>12</v>
      </c>
      <c r="C3" s="7" t="s">
        <v>13</v>
      </c>
      <c r="D3" s="7" t="s">
        <v>14</v>
      </c>
      <c r="E3" s="20" t="s">
        <v>15</v>
      </c>
      <c r="F3" s="20" t="s">
        <v>16</v>
      </c>
      <c r="G3" s="20" t="s">
        <v>17</v>
      </c>
      <c r="H3" s="8" t="s">
        <v>18</v>
      </c>
      <c r="I3" s="8" t="s">
        <v>19</v>
      </c>
      <c r="J3" s="8" t="s">
        <v>20</v>
      </c>
      <c r="K3" s="8" t="s">
        <v>21</v>
      </c>
      <c r="L3" s="8" t="s">
        <v>22</v>
      </c>
      <c r="M3" s="8" t="s">
        <v>23</v>
      </c>
      <c r="N3" s="8" t="s">
        <v>24</v>
      </c>
      <c r="O3" s="8" t="s">
        <v>25</v>
      </c>
      <c r="P3" s="10" t="s">
        <v>26</v>
      </c>
      <c r="Q3" s="11"/>
      <c r="R3" s="11"/>
      <c r="S3" s="11"/>
      <c r="T3" s="11"/>
      <c r="U3" s="11"/>
      <c r="V3" s="11"/>
      <c r="W3" s="11"/>
      <c r="X3" s="11"/>
      <c r="Y3" s="22" t="s">
        <v>11</v>
      </c>
      <c r="Z3" s="22" t="s">
        <v>12</v>
      </c>
      <c r="AA3" s="23" t="s">
        <v>15</v>
      </c>
      <c r="AB3" s="22" t="s">
        <v>18</v>
      </c>
      <c r="AC3" s="22" t="s">
        <v>20</v>
      </c>
      <c r="AD3" s="22" t="s">
        <v>21</v>
      </c>
      <c r="AE3" s="22" t="s">
        <v>26</v>
      </c>
    </row>
    <row r="4" spans="1:32" ht="14.25" customHeight="1" x14ac:dyDescent="0.25">
      <c r="A4" s="12" t="s">
        <v>27</v>
      </c>
      <c r="B4" s="12" t="s">
        <v>27</v>
      </c>
      <c r="C4" s="12" t="s">
        <v>27</v>
      </c>
      <c r="D4" s="12" t="s">
        <v>27</v>
      </c>
      <c r="E4" s="12" t="s">
        <v>27</v>
      </c>
      <c r="F4" s="12" t="s">
        <v>27</v>
      </c>
      <c r="G4" s="12"/>
      <c r="H4" s="12" t="s">
        <v>27</v>
      </c>
      <c r="I4" s="12"/>
      <c r="J4" s="12" t="s">
        <v>27</v>
      </c>
      <c r="K4" s="12" t="s">
        <v>27</v>
      </c>
      <c r="L4" s="12" t="s">
        <v>27</v>
      </c>
      <c r="M4" s="12" t="s">
        <v>27</v>
      </c>
      <c r="N4" s="12"/>
      <c r="O4" s="12"/>
      <c r="P4" s="12" t="s">
        <v>27</v>
      </c>
      <c r="Q4" s="12"/>
      <c r="R4" s="12"/>
      <c r="S4" s="12"/>
      <c r="T4" s="12"/>
      <c r="U4" s="12"/>
      <c r="V4" s="12"/>
      <c r="W4" s="12"/>
      <c r="X4" s="12"/>
      <c r="Y4" s="63" t="s">
        <v>28</v>
      </c>
      <c r="Z4" s="64"/>
      <c r="AA4" s="64"/>
      <c r="AB4" s="64"/>
      <c r="AC4" s="64"/>
      <c r="AD4" s="64"/>
      <c r="AE4" s="64"/>
    </row>
    <row r="5" spans="1:32" ht="84.95" customHeight="1" x14ac:dyDescent="0.25">
      <c r="A5" s="27" t="s">
        <v>29</v>
      </c>
      <c r="B5" s="27" t="s">
        <v>30</v>
      </c>
      <c r="C5" s="28" t="s">
        <v>42</v>
      </c>
      <c r="D5" s="28" t="s">
        <v>43</v>
      </c>
      <c r="E5" s="27" t="s">
        <v>31</v>
      </c>
      <c r="F5" s="28"/>
      <c r="G5" s="28"/>
      <c r="H5" s="27" t="s">
        <v>32</v>
      </c>
      <c r="I5" s="27" t="s">
        <v>33</v>
      </c>
      <c r="J5" s="45" t="s">
        <v>40</v>
      </c>
      <c r="K5" s="45" t="s">
        <v>41</v>
      </c>
      <c r="L5" s="27"/>
      <c r="M5" s="28"/>
      <c r="N5" s="28"/>
      <c r="O5" s="28"/>
      <c r="P5" s="27" t="s">
        <v>34</v>
      </c>
      <c r="Q5" s="28"/>
      <c r="R5" s="28"/>
      <c r="S5" s="28"/>
      <c r="T5" s="28"/>
      <c r="U5" s="28"/>
      <c r="V5" s="28"/>
      <c r="W5" s="28"/>
      <c r="X5" s="28"/>
      <c r="Y5" s="62"/>
      <c r="Z5" s="62"/>
      <c r="AA5" s="62"/>
      <c r="AB5" s="62"/>
      <c r="AC5" s="62"/>
      <c r="AD5" s="62"/>
      <c r="AE5" s="62"/>
    </row>
    <row r="6" spans="1:32" ht="15" customHeight="1" x14ac:dyDescent="0.25">
      <c r="A6" s="36"/>
      <c r="B6" s="42"/>
      <c r="C6" s="37"/>
      <c r="D6" s="42"/>
      <c r="E6" s="43" t="s">
        <v>39</v>
      </c>
      <c r="F6" s="42"/>
      <c r="G6" s="42"/>
      <c r="H6" s="38"/>
      <c r="I6" s="40"/>
      <c r="J6" s="38"/>
      <c r="K6" s="38"/>
      <c r="L6" s="38"/>
      <c r="M6" s="38"/>
      <c r="N6" s="38"/>
      <c r="O6" s="38"/>
      <c r="P6" s="38"/>
      <c r="Q6" s="36"/>
      <c r="R6" s="38"/>
      <c r="S6" s="38"/>
      <c r="T6" s="38"/>
      <c r="U6" s="42"/>
      <c r="V6" s="38"/>
      <c r="W6" s="42"/>
      <c r="X6" s="38"/>
      <c r="Y6" s="62"/>
      <c r="Z6" s="62"/>
      <c r="AA6" s="62"/>
      <c r="AB6" s="62"/>
      <c r="AC6" s="62"/>
      <c r="AD6" s="62"/>
      <c r="AE6" s="62"/>
    </row>
    <row r="7" spans="1:32" ht="20.100000000000001" customHeight="1" x14ac:dyDescent="0.25">
      <c r="F7" s="39"/>
      <c r="G7" s="41"/>
      <c r="L7" s="14"/>
      <c r="M7" s="15"/>
      <c r="N7" s="14"/>
      <c r="O7" s="14"/>
      <c r="Y7" s="44" t="e">
        <f>INT(INDEX('Dados Consolidados'!$R$2:$R$1000000, MATCH(A7, 'Dados Consolidados'!$A$2:$A$1000000, 0)))</f>
        <v>#N/A</v>
      </c>
      <c r="Z7" s="44" t="e">
        <f>INT(INDEX('Dados Consolidados'!$S$2:$S$1000000, MATCH(B7, 'Dados Consolidados'!$B$2:$B$1000000, 0)))</f>
        <v>#N/A</v>
      </c>
      <c r="AA7" s="44" t="e">
        <f>INT(INDEX('Dados Consolidados'!$T$2:$T$1000000, MATCH(E7, 'Dados Consolidados'!$E$2:$E$1000000, 0)))</f>
        <v>#N/A</v>
      </c>
      <c r="AB7" s="44" t="e">
        <f>INT(INDEX('Dados Consolidados'!$U$2:$U$1000000, MATCH(H7, 'Dados Consolidados'!$H$2:$H$1000000, 0)))</f>
        <v>#N/A</v>
      </c>
      <c r="AC7" s="44" t="e">
        <f>INT(INDEX('Dados Consolidados'!$V$2:$V$1000000, MATCH(J7, 'Dados Consolidados'!$J$2:$J$1000000, 0)))</f>
        <v>#N/A</v>
      </c>
      <c r="AD7" s="44" t="e">
        <f>INT(INDEX('Dados Consolidados'!$X$2:$X$1000000, MATCH(K7, 'Dados Consolidados'!$K$2:$K$1000000, 0)))</f>
        <v>#N/A</v>
      </c>
      <c r="AE7" s="44" t="e">
        <f>INT(INDEX('Dados Consolidados'!$W$2:$W$1000000, MATCH(P7, 'Dados Consolidados'!$P$2:$P$1000000, 0)))</f>
        <v>#N/A</v>
      </c>
      <c r="AF7" s="21"/>
    </row>
    <row r="8" spans="1:32" ht="20.100000000000001" customHeight="1" x14ac:dyDescent="0.25">
      <c r="F8" s="14"/>
      <c r="G8" s="14"/>
      <c r="L8" s="14"/>
      <c r="M8" s="15"/>
      <c r="N8" s="14"/>
      <c r="O8" s="14"/>
      <c r="Y8" s="44" t="e">
        <f>INT(INDEX('Dados Consolidados'!$R$2:$R$1000000, MATCH(A8, 'Dados Consolidados'!$A$2:$A$1000000, 0)))</f>
        <v>#N/A</v>
      </c>
      <c r="Z8" s="44" t="e">
        <f>INT(INDEX('Dados Consolidados'!$S$2:$S$1000000, MATCH(B8, 'Dados Consolidados'!$B$2:$B$1000000, 0)))</f>
        <v>#N/A</v>
      </c>
      <c r="AA8" s="44" t="e">
        <f>INT(INDEX('Dados Consolidados'!$T$2:$T$1000000, MATCH(E8, 'Dados Consolidados'!$E$2:$E$1000000, 0)))</f>
        <v>#N/A</v>
      </c>
      <c r="AB8" s="44" t="e">
        <f>INT(INDEX('Dados Consolidados'!$U$2:$U$1000000, MATCH(H8, 'Dados Consolidados'!$H$2:$H$1000000, 0)))</f>
        <v>#N/A</v>
      </c>
      <c r="AC8" s="44" t="e">
        <f>INT(INDEX('Dados Consolidados'!$V$2:$V$1000000, MATCH(J8, 'Dados Consolidados'!$J$2:$J$1000000, 0)))</f>
        <v>#N/A</v>
      </c>
      <c r="AD8" s="44" t="e">
        <f>INT(INDEX('Dados Consolidados'!$X$2:$X$1000000, MATCH(K8, 'Dados Consolidados'!$K$2:$K$1000000, 0)))</f>
        <v>#N/A</v>
      </c>
      <c r="AE8" s="44" t="e">
        <f>INT(INDEX('Dados Consolidados'!$W$2:$W$1000000, MATCH(P8, 'Dados Consolidados'!$P$2:$P$1000000, 0)))</f>
        <v>#N/A</v>
      </c>
    </row>
    <row r="9" spans="1:32" ht="20.100000000000001" customHeight="1" x14ac:dyDescent="0.25">
      <c r="F9" s="14"/>
      <c r="G9" s="14"/>
      <c r="L9" s="14"/>
      <c r="M9" s="15"/>
      <c r="N9" s="14"/>
      <c r="O9" s="14"/>
      <c r="Y9" s="44" t="e">
        <f>INT(INDEX('Dados Consolidados'!$R$2:$R$1000000, MATCH(A9, 'Dados Consolidados'!$A$2:$A$1000000, 0)))</f>
        <v>#N/A</v>
      </c>
      <c r="Z9" s="44" t="e">
        <f>INT(INDEX('Dados Consolidados'!$S$2:$S$1000000, MATCH(B9, 'Dados Consolidados'!$B$2:$B$1000000, 0)))</f>
        <v>#N/A</v>
      </c>
      <c r="AA9" s="44" t="e">
        <f>INT(INDEX('Dados Consolidados'!$T$2:$T$1000000, MATCH(E9, 'Dados Consolidados'!$E$2:$E$1000000, 0)))</f>
        <v>#N/A</v>
      </c>
      <c r="AB9" s="44" t="e">
        <f>INT(INDEX('Dados Consolidados'!$U$2:$U$1000000, MATCH(H9, 'Dados Consolidados'!$H$2:$H$1000000, 0)))</f>
        <v>#N/A</v>
      </c>
      <c r="AC9" s="44" t="e">
        <f>INT(INDEX('Dados Consolidados'!$V$2:$V$1000000, MATCH(J9, 'Dados Consolidados'!$J$2:$J$1000000, 0)))</f>
        <v>#N/A</v>
      </c>
      <c r="AD9" s="44" t="e">
        <f>INT(INDEX('Dados Consolidados'!$X$2:$X$1000000, MATCH(K9, 'Dados Consolidados'!$K$2:$K$1000000, 0)))</f>
        <v>#N/A</v>
      </c>
      <c r="AE9" s="44" t="e">
        <f>INT(INDEX('Dados Consolidados'!$W$2:$W$1000000, MATCH(P9, 'Dados Consolidados'!$P$2:$P$1000000, 0)))</f>
        <v>#N/A</v>
      </c>
    </row>
    <row r="10" spans="1:32" ht="20.100000000000001" customHeight="1" x14ac:dyDescent="0.25">
      <c r="F10" s="14"/>
      <c r="G10" s="14"/>
      <c r="L10" s="14"/>
      <c r="M10" s="15"/>
      <c r="N10" s="14"/>
      <c r="O10" s="14"/>
      <c r="Y10" s="44" t="e">
        <f>INT(INDEX('Dados Consolidados'!$R$2:$R$1000000, MATCH(A10, 'Dados Consolidados'!$A$2:$A$1000000, 0)))</f>
        <v>#N/A</v>
      </c>
      <c r="Z10" s="44" t="e">
        <f>INT(INDEX('Dados Consolidados'!$S$2:$S$1000000, MATCH(B10, 'Dados Consolidados'!$B$2:$B$1000000, 0)))</f>
        <v>#N/A</v>
      </c>
      <c r="AA10" s="44" t="e">
        <f>INT(INDEX('Dados Consolidados'!$T$2:$T$1000000, MATCH(E10, 'Dados Consolidados'!$E$2:$E$1000000, 0)))</f>
        <v>#N/A</v>
      </c>
      <c r="AB10" s="44" t="e">
        <f>INT(INDEX('Dados Consolidados'!$U$2:$U$1000000, MATCH(H10, 'Dados Consolidados'!$H$2:$H$1000000, 0)))</f>
        <v>#N/A</v>
      </c>
      <c r="AC10" s="44" t="e">
        <f>INT(INDEX('Dados Consolidados'!$V$2:$V$1000000, MATCH(J10, 'Dados Consolidados'!$J$2:$J$1000000, 0)))</f>
        <v>#N/A</v>
      </c>
      <c r="AD10" s="44" t="e">
        <f>INT(INDEX('Dados Consolidados'!$X$2:$X$1000000, MATCH(K10, 'Dados Consolidados'!$K$2:$K$1000000, 0)))</f>
        <v>#N/A</v>
      </c>
      <c r="AE10" s="44" t="e">
        <f>INT(INDEX('Dados Consolidados'!$W$2:$W$1000000, MATCH(P10, 'Dados Consolidados'!$P$2:$P$1000000, 0)))</f>
        <v>#N/A</v>
      </c>
    </row>
    <row r="11" spans="1:32" ht="20.100000000000001" customHeight="1" x14ac:dyDescent="0.25">
      <c r="F11" s="14"/>
      <c r="G11" s="14"/>
      <c r="L11" s="14"/>
      <c r="M11" s="15"/>
      <c r="N11" s="14"/>
      <c r="O11" s="14"/>
      <c r="Y11" s="44" t="e">
        <f>INT(INDEX('Dados Consolidados'!$R$2:$R$1000000, MATCH(A11, 'Dados Consolidados'!$A$2:$A$1000000, 0)))</f>
        <v>#N/A</v>
      </c>
      <c r="Z11" s="44" t="e">
        <f>INT(INDEX('Dados Consolidados'!$S$2:$S$1000000, MATCH(B11, 'Dados Consolidados'!$B$2:$B$1000000, 0)))</f>
        <v>#N/A</v>
      </c>
      <c r="AA11" s="44" t="e">
        <f>INT(INDEX('Dados Consolidados'!$T$2:$T$1000000, MATCH(E11, 'Dados Consolidados'!$E$2:$E$1000000, 0)))</f>
        <v>#N/A</v>
      </c>
      <c r="AB11" s="44" t="e">
        <f>INT(INDEX('Dados Consolidados'!$U$2:$U$1000000, MATCH(H11, 'Dados Consolidados'!$H$2:$H$1000000, 0)))</f>
        <v>#N/A</v>
      </c>
      <c r="AC11" s="44" t="e">
        <f>INT(INDEX('Dados Consolidados'!$V$2:$V$1000000, MATCH(J11, 'Dados Consolidados'!$J$2:$J$1000000, 0)))</f>
        <v>#N/A</v>
      </c>
      <c r="AD11" s="44" t="e">
        <f>INT(INDEX('Dados Consolidados'!$X$2:$X$1000000, MATCH(K11, 'Dados Consolidados'!$K$2:$K$1000000, 0)))</f>
        <v>#N/A</v>
      </c>
      <c r="AE11" s="44" t="e">
        <f>INT(INDEX('Dados Consolidados'!$W$2:$W$1000000, MATCH(P11, 'Dados Consolidados'!$P$2:$P$1000000, 0)))</f>
        <v>#N/A</v>
      </c>
    </row>
    <row r="12" spans="1:32" ht="20.100000000000001" customHeight="1" x14ac:dyDescent="0.25">
      <c r="F12" s="14"/>
      <c r="G12" s="14"/>
      <c r="L12" s="14"/>
      <c r="M12" s="15"/>
      <c r="N12" s="14"/>
      <c r="O12" s="14"/>
      <c r="Y12" s="44" t="e">
        <f>INT(INDEX('Dados Consolidados'!$R$2:$R$1000000, MATCH(A12, 'Dados Consolidados'!$A$2:$A$1000000, 0)))</f>
        <v>#N/A</v>
      </c>
      <c r="Z12" s="44" t="e">
        <f>INT(INDEX('Dados Consolidados'!$S$2:$S$1000000, MATCH(B12, 'Dados Consolidados'!$B$2:$B$1000000, 0)))</f>
        <v>#N/A</v>
      </c>
      <c r="AA12" s="44" t="e">
        <f>INT(INDEX('Dados Consolidados'!$T$2:$T$1000000, MATCH(E12, 'Dados Consolidados'!$E$2:$E$1000000, 0)))</f>
        <v>#N/A</v>
      </c>
      <c r="AB12" s="44" t="e">
        <f>INT(INDEX('Dados Consolidados'!$U$2:$U$1000000, MATCH(H12, 'Dados Consolidados'!$H$2:$H$1000000, 0)))</f>
        <v>#N/A</v>
      </c>
      <c r="AC12" s="44" t="e">
        <f>INT(INDEX('Dados Consolidados'!$V$2:$V$1000000, MATCH(J12, 'Dados Consolidados'!$J$2:$J$1000000, 0)))</f>
        <v>#N/A</v>
      </c>
      <c r="AD12" s="44" t="e">
        <f>INT(INDEX('Dados Consolidados'!$X$2:$X$1000000, MATCH(K12, 'Dados Consolidados'!$K$2:$K$1000000, 0)))</f>
        <v>#N/A</v>
      </c>
      <c r="AE12" s="44" t="e">
        <f>INT(INDEX('Dados Consolidados'!$W$2:$W$1000000, MATCH(P12, 'Dados Consolidados'!$P$2:$P$1000000, 0)))</f>
        <v>#N/A</v>
      </c>
    </row>
    <row r="13" spans="1:32" ht="20.100000000000001" customHeight="1" x14ac:dyDescent="0.25">
      <c r="F13" s="14"/>
      <c r="G13" s="14"/>
      <c r="L13" s="14"/>
      <c r="M13" s="15"/>
      <c r="N13" s="14"/>
      <c r="O13" s="14"/>
      <c r="Y13" s="44" t="e">
        <f>INT(INDEX('Dados Consolidados'!$R$2:$R$1000000, MATCH(A13, 'Dados Consolidados'!$A$2:$A$1000000, 0)))</f>
        <v>#N/A</v>
      </c>
      <c r="Z13" s="44" t="e">
        <f>INT(INDEX('Dados Consolidados'!$S$2:$S$1000000, MATCH(B13, 'Dados Consolidados'!$B$2:$B$1000000, 0)))</f>
        <v>#N/A</v>
      </c>
      <c r="AA13" s="44" t="e">
        <f>INT(INDEX('Dados Consolidados'!$T$2:$T$1000000, MATCH(E13, 'Dados Consolidados'!$E$2:$E$1000000, 0)))</f>
        <v>#N/A</v>
      </c>
      <c r="AB13" s="44" t="e">
        <f>INT(INDEX('Dados Consolidados'!$U$2:$U$1000000, MATCH(H13, 'Dados Consolidados'!$H$2:$H$1000000, 0)))</f>
        <v>#N/A</v>
      </c>
      <c r="AC13" s="44" t="e">
        <f>INT(INDEX('Dados Consolidados'!$V$2:$V$1000000, MATCH(J13, 'Dados Consolidados'!$J$2:$J$1000000, 0)))</f>
        <v>#N/A</v>
      </c>
      <c r="AD13" s="44" t="e">
        <f>INT(INDEX('Dados Consolidados'!$X$2:$X$1000000, MATCH(K13, 'Dados Consolidados'!$K$2:$K$1000000, 0)))</f>
        <v>#N/A</v>
      </c>
      <c r="AE13" s="44" t="e">
        <f>INT(INDEX('Dados Consolidados'!$W$2:$W$1000000, MATCH(P13, 'Dados Consolidados'!$P$2:$P$1000000, 0)))</f>
        <v>#N/A</v>
      </c>
    </row>
    <row r="14" spans="1:32" ht="20.100000000000001" customHeight="1" x14ac:dyDescent="0.25">
      <c r="F14" s="14"/>
      <c r="G14" s="14"/>
      <c r="L14" s="14"/>
      <c r="M14" s="15"/>
      <c r="N14" s="14"/>
      <c r="O14" s="14"/>
      <c r="Y14" s="44" t="e">
        <f>INT(INDEX('Dados Consolidados'!$R$2:$R$1000000, MATCH(A14, 'Dados Consolidados'!$A$2:$A$1000000, 0)))</f>
        <v>#N/A</v>
      </c>
      <c r="Z14" s="44" t="e">
        <f>INT(INDEX('Dados Consolidados'!$S$2:$S$1000000, MATCH(B14, 'Dados Consolidados'!$B$2:$B$1000000, 0)))</f>
        <v>#N/A</v>
      </c>
      <c r="AA14" s="44" t="e">
        <f>INT(INDEX('Dados Consolidados'!$T$2:$T$1000000, MATCH(E14, 'Dados Consolidados'!$E$2:$E$1000000, 0)))</f>
        <v>#N/A</v>
      </c>
      <c r="AB14" s="44" t="e">
        <f>INT(INDEX('Dados Consolidados'!$U$2:$U$1000000, MATCH(H14, 'Dados Consolidados'!$H$2:$H$1000000, 0)))</f>
        <v>#N/A</v>
      </c>
      <c r="AC14" s="44" t="e">
        <f>INT(INDEX('Dados Consolidados'!$V$2:$V$1000000, MATCH(J14, 'Dados Consolidados'!$J$2:$J$1000000, 0)))</f>
        <v>#N/A</v>
      </c>
      <c r="AD14" s="44" t="e">
        <f>INT(INDEX('Dados Consolidados'!$X$2:$X$1000000, MATCH(K14, 'Dados Consolidados'!$K$2:$K$1000000, 0)))</f>
        <v>#N/A</v>
      </c>
      <c r="AE14" s="44" t="e">
        <f>INT(INDEX('Dados Consolidados'!$W$2:$W$1000000, MATCH(P14, 'Dados Consolidados'!$P$2:$P$1000000, 0)))</f>
        <v>#N/A</v>
      </c>
    </row>
    <row r="15" spans="1:32" ht="20.100000000000001" customHeight="1" x14ac:dyDescent="0.25">
      <c r="F15" s="14"/>
      <c r="G15" s="14"/>
      <c r="L15" s="14"/>
      <c r="M15" s="15"/>
      <c r="N15" s="14"/>
      <c r="O15" s="14"/>
      <c r="Y15" s="44" t="e">
        <f>INT(INDEX('Dados Consolidados'!$R$2:$R$1000000, MATCH(A15, 'Dados Consolidados'!$A$2:$A$1000000, 0)))</f>
        <v>#N/A</v>
      </c>
      <c r="Z15" s="44" t="e">
        <f>INT(INDEX('Dados Consolidados'!$S$2:$S$1000000, MATCH(B15, 'Dados Consolidados'!$B$2:$B$1000000, 0)))</f>
        <v>#N/A</v>
      </c>
      <c r="AA15" s="44" t="e">
        <f>INT(INDEX('Dados Consolidados'!$T$2:$T$1000000, MATCH(E15, 'Dados Consolidados'!$E$2:$E$1000000, 0)))</f>
        <v>#N/A</v>
      </c>
      <c r="AB15" s="44" t="e">
        <f>INT(INDEX('Dados Consolidados'!$U$2:$U$1000000, MATCH(H15, 'Dados Consolidados'!$H$2:$H$1000000, 0)))</f>
        <v>#N/A</v>
      </c>
      <c r="AC15" s="44" t="e">
        <f>INT(INDEX('Dados Consolidados'!$V$2:$V$1000000, MATCH(J15, 'Dados Consolidados'!$J$2:$J$1000000, 0)))</f>
        <v>#N/A</v>
      </c>
      <c r="AD15" s="44" t="e">
        <f>INT(INDEX('Dados Consolidados'!$X$2:$X$1000000, MATCH(K15, 'Dados Consolidados'!$K$2:$K$1000000, 0)))</f>
        <v>#N/A</v>
      </c>
      <c r="AE15" s="44" t="e">
        <f>INT(INDEX('Dados Consolidados'!$W$2:$W$1000000, MATCH(P15, 'Dados Consolidados'!$P$2:$P$1000000, 0)))</f>
        <v>#N/A</v>
      </c>
    </row>
    <row r="16" spans="1:32" ht="20.100000000000001" customHeight="1" x14ac:dyDescent="0.25">
      <c r="F16" s="14"/>
      <c r="G16" s="14"/>
      <c r="L16" s="14"/>
      <c r="M16" s="15"/>
      <c r="N16" s="14"/>
      <c r="O16" s="14"/>
      <c r="Y16" s="44" t="e">
        <f>INT(INDEX('Dados Consolidados'!$R$2:$R$1000000, MATCH(A16, 'Dados Consolidados'!$A$2:$A$1000000, 0)))</f>
        <v>#N/A</v>
      </c>
      <c r="Z16" s="44" t="e">
        <f>INT(INDEX('Dados Consolidados'!$S$2:$S$1000000, MATCH(B16, 'Dados Consolidados'!$B$2:$B$1000000, 0)))</f>
        <v>#N/A</v>
      </c>
      <c r="AA16" s="44" t="e">
        <f>INT(INDEX('Dados Consolidados'!$T$2:$T$1000000, MATCH(E16, 'Dados Consolidados'!$E$2:$E$1000000, 0)))</f>
        <v>#N/A</v>
      </c>
      <c r="AB16" s="44" t="e">
        <f>INT(INDEX('Dados Consolidados'!$U$2:$U$1000000, MATCH(H16, 'Dados Consolidados'!$H$2:$H$1000000, 0)))</f>
        <v>#N/A</v>
      </c>
      <c r="AC16" s="44" t="e">
        <f>INT(INDEX('Dados Consolidados'!$V$2:$V$1000000, MATCH(J16, 'Dados Consolidados'!$J$2:$J$1000000, 0)))</f>
        <v>#N/A</v>
      </c>
      <c r="AD16" s="44" t="e">
        <f>INT(INDEX('Dados Consolidados'!$X$2:$X$1000000, MATCH(K16, 'Dados Consolidados'!$K$2:$K$1000000, 0)))</f>
        <v>#N/A</v>
      </c>
      <c r="AE16" s="44" t="e">
        <f>INT(INDEX('Dados Consolidados'!$W$2:$W$1000000, MATCH(P16, 'Dados Consolidados'!$P$2:$P$1000000, 0)))</f>
        <v>#N/A</v>
      </c>
    </row>
    <row r="17" spans="6:31" ht="20.100000000000001" customHeight="1" x14ac:dyDescent="0.25">
      <c r="F17" s="14"/>
      <c r="G17" s="14"/>
      <c r="L17" s="14"/>
      <c r="M17" s="15"/>
      <c r="N17" s="14"/>
      <c r="O17" s="14"/>
      <c r="Y17" s="44" t="e">
        <f>INT(INDEX('Dados Consolidados'!$R$2:$R$1000000, MATCH(A17, 'Dados Consolidados'!$A$2:$A$1000000, 0)))</f>
        <v>#N/A</v>
      </c>
      <c r="Z17" s="44" t="e">
        <f>INT(INDEX('Dados Consolidados'!$S$2:$S$1000000, MATCH(B17, 'Dados Consolidados'!$B$2:$B$1000000, 0)))</f>
        <v>#N/A</v>
      </c>
      <c r="AA17" s="44" t="e">
        <f>INT(INDEX('Dados Consolidados'!$T$2:$T$1000000, MATCH(E17, 'Dados Consolidados'!$E$2:$E$1000000, 0)))</f>
        <v>#N/A</v>
      </c>
      <c r="AB17" s="44" t="e">
        <f>INT(INDEX('Dados Consolidados'!$U$2:$U$1000000, MATCH(H17, 'Dados Consolidados'!$H$2:$H$1000000, 0)))</f>
        <v>#N/A</v>
      </c>
      <c r="AC17" s="44" t="e">
        <f>INT(INDEX('Dados Consolidados'!$V$2:$V$1000000, MATCH(J17, 'Dados Consolidados'!$J$2:$J$1000000, 0)))</f>
        <v>#N/A</v>
      </c>
      <c r="AD17" s="44" t="e">
        <f>INT(INDEX('Dados Consolidados'!$X$2:$X$1000000, MATCH(K17, 'Dados Consolidados'!$K$2:$K$1000000, 0)))</f>
        <v>#N/A</v>
      </c>
      <c r="AE17" s="44" t="e">
        <f>INT(INDEX('Dados Consolidados'!$W$2:$W$1000000, MATCH(P17, 'Dados Consolidados'!$P$2:$P$1000000, 0)))</f>
        <v>#N/A</v>
      </c>
    </row>
    <row r="18" spans="6:31" ht="20.100000000000001" customHeight="1" x14ac:dyDescent="0.25">
      <c r="F18" s="14"/>
      <c r="G18" s="14"/>
      <c r="L18" s="14"/>
      <c r="M18" s="15"/>
      <c r="N18" s="14"/>
      <c r="O18" s="14"/>
      <c r="Y18" s="44" t="e">
        <f>INT(INDEX('Dados Consolidados'!$R$2:$R$1000000, MATCH(A18, 'Dados Consolidados'!$A$2:$A$1000000, 0)))</f>
        <v>#N/A</v>
      </c>
      <c r="Z18" s="44" t="e">
        <f>INT(INDEX('Dados Consolidados'!$S$2:$S$1000000, MATCH(B18, 'Dados Consolidados'!$B$2:$B$1000000, 0)))</f>
        <v>#N/A</v>
      </c>
      <c r="AA18" s="44" t="e">
        <f>INT(INDEX('Dados Consolidados'!$T$2:$T$1000000, MATCH(E18, 'Dados Consolidados'!$E$2:$E$1000000, 0)))</f>
        <v>#N/A</v>
      </c>
      <c r="AB18" s="44" t="e">
        <f>INT(INDEX('Dados Consolidados'!$U$2:$U$1000000, MATCH(H18, 'Dados Consolidados'!$H$2:$H$1000000, 0)))</f>
        <v>#N/A</v>
      </c>
      <c r="AC18" s="44" t="e">
        <f>INT(INDEX('Dados Consolidados'!$V$2:$V$1000000, MATCH(J18, 'Dados Consolidados'!$J$2:$J$1000000, 0)))</f>
        <v>#N/A</v>
      </c>
      <c r="AD18" s="44" t="e">
        <f>INT(INDEX('Dados Consolidados'!$X$2:$X$1000000, MATCH(K18, 'Dados Consolidados'!$K$2:$K$1000000, 0)))</f>
        <v>#N/A</v>
      </c>
      <c r="AE18" s="44" t="e">
        <f>INT(INDEX('Dados Consolidados'!$W$2:$W$1000000, MATCH(P18, 'Dados Consolidados'!$P$2:$P$1000000, 0)))</f>
        <v>#N/A</v>
      </c>
    </row>
    <row r="19" spans="6:31" ht="20.100000000000001" customHeight="1" x14ac:dyDescent="0.25">
      <c r="F19" s="14"/>
      <c r="G19" s="14"/>
      <c r="L19" s="14"/>
      <c r="M19" s="15"/>
      <c r="N19" s="14"/>
      <c r="O19" s="14"/>
      <c r="Y19" s="44" t="e">
        <f>INT(INDEX('Dados Consolidados'!$R$2:$R$1000000, MATCH(A19, 'Dados Consolidados'!$A$2:$A$1000000, 0)))</f>
        <v>#N/A</v>
      </c>
      <c r="Z19" s="44" t="e">
        <f>INT(INDEX('Dados Consolidados'!$S$2:$S$1000000, MATCH(B19, 'Dados Consolidados'!$B$2:$B$1000000, 0)))</f>
        <v>#N/A</v>
      </c>
      <c r="AA19" s="44" t="e">
        <f>INT(INDEX('Dados Consolidados'!$T$2:$T$1000000, MATCH(E19, 'Dados Consolidados'!$E$2:$E$1000000, 0)))</f>
        <v>#N/A</v>
      </c>
      <c r="AB19" s="44" t="e">
        <f>INT(INDEX('Dados Consolidados'!$U$2:$U$1000000, MATCH(H19, 'Dados Consolidados'!$H$2:$H$1000000, 0)))</f>
        <v>#N/A</v>
      </c>
      <c r="AC19" s="44" t="e">
        <f>INT(INDEX('Dados Consolidados'!$V$2:$V$1000000, MATCH(J19, 'Dados Consolidados'!$J$2:$J$1000000, 0)))</f>
        <v>#N/A</v>
      </c>
      <c r="AD19" s="44" t="e">
        <f>INT(INDEX('Dados Consolidados'!$X$2:$X$1000000, MATCH(K19, 'Dados Consolidados'!$K$2:$K$1000000, 0)))</f>
        <v>#N/A</v>
      </c>
      <c r="AE19" s="44" t="e">
        <f>INT(INDEX('Dados Consolidados'!$W$2:$W$1000000, MATCH(P19, 'Dados Consolidados'!$P$2:$P$1000000, 0)))</f>
        <v>#N/A</v>
      </c>
    </row>
    <row r="20" spans="6:31" ht="20.100000000000001" customHeight="1" x14ac:dyDescent="0.25">
      <c r="F20" s="14"/>
      <c r="G20" s="14"/>
      <c r="L20" s="14"/>
      <c r="M20" s="15"/>
      <c r="N20" s="14"/>
      <c r="O20" s="14"/>
      <c r="Y20" s="44" t="e">
        <f>INT(INDEX('Dados Consolidados'!$R$2:$R$1000000, MATCH(A20, 'Dados Consolidados'!$A$2:$A$1000000, 0)))</f>
        <v>#N/A</v>
      </c>
      <c r="Z20" s="44" t="e">
        <f>INT(INDEX('Dados Consolidados'!$S$2:$S$1000000, MATCH(B20, 'Dados Consolidados'!$B$2:$B$1000000, 0)))</f>
        <v>#N/A</v>
      </c>
      <c r="AA20" s="44" t="e">
        <f>INT(INDEX('Dados Consolidados'!$T$2:$T$1000000, MATCH(E20, 'Dados Consolidados'!$E$2:$E$1000000, 0)))</f>
        <v>#N/A</v>
      </c>
      <c r="AB20" s="44" t="e">
        <f>INT(INDEX('Dados Consolidados'!$U$2:$U$1000000, MATCH(H20, 'Dados Consolidados'!$H$2:$H$1000000, 0)))</f>
        <v>#N/A</v>
      </c>
      <c r="AC20" s="44" t="e">
        <f>INT(INDEX('Dados Consolidados'!$V$2:$V$1000000, MATCH(J20, 'Dados Consolidados'!$J$2:$J$1000000, 0)))</f>
        <v>#N/A</v>
      </c>
      <c r="AD20" s="44" t="e">
        <f>INT(INDEX('Dados Consolidados'!$X$2:$X$1000000, MATCH(K20, 'Dados Consolidados'!$K$2:$K$1000000, 0)))</f>
        <v>#N/A</v>
      </c>
      <c r="AE20" s="44" t="e">
        <f>INT(INDEX('Dados Consolidados'!$W$2:$W$1000000, MATCH(P20, 'Dados Consolidados'!$P$2:$P$1000000, 0)))</f>
        <v>#N/A</v>
      </c>
    </row>
    <row r="21" spans="6:31" ht="20.100000000000001" customHeight="1" x14ac:dyDescent="0.25">
      <c r="F21" s="14"/>
      <c r="G21" s="14"/>
      <c r="L21" s="14"/>
      <c r="M21" s="15"/>
      <c r="N21" s="14"/>
      <c r="O21" s="14"/>
      <c r="Y21" s="44" t="e">
        <f>INT(INDEX('Dados Consolidados'!$R$2:$R$1000000, MATCH(A21, 'Dados Consolidados'!$A$2:$A$1000000, 0)))</f>
        <v>#N/A</v>
      </c>
      <c r="Z21" s="44" t="e">
        <f>INT(INDEX('Dados Consolidados'!$S$2:$S$1000000, MATCH(B21, 'Dados Consolidados'!$B$2:$B$1000000, 0)))</f>
        <v>#N/A</v>
      </c>
      <c r="AA21" s="44" t="e">
        <f>INT(INDEX('Dados Consolidados'!$T$2:$T$1000000, MATCH(E21, 'Dados Consolidados'!$E$2:$E$1000000, 0)))</f>
        <v>#N/A</v>
      </c>
      <c r="AB21" s="44" t="e">
        <f>INT(INDEX('Dados Consolidados'!$U$2:$U$1000000, MATCH(H21, 'Dados Consolidados'!$H$2:$H$1000000, 0)))</f>
        <v>#N/A</v>
      </c>
      <c r="AC21" s="44" t="e">
        <f>INT(INDEX('Dados Consolidados'!$V$2:$V$1000000, MATCH(J21, 'Dados Consolidados'!$J$2:$J$1000000, 0)))</f>
        <v>#N/A</v>
      </c>
      <c r="AD21" s="44" t="e">
        <f>INT(INDEX('Dados Consolidados'!$X$2:$X$1000000, MATCH(K21, 'Dados Consolidados'!$K$2:$K$1000000, 0)))</f>
        <v>#N/A</v>
      </c>
      <c r="AE21" s="44" t="e">
        <f>INT(INDEX('Dados Consolidados'!$W$2:$W$1000000, MATCH(P21, 'Dados Consolidados'!$P$2:$P$1000000, 0)))</f>
        <v>#N/A</v>
      </c>
    </row>
    <row r="22" spans="6:31" ht="20.100000000000001" customHeight="1" x14ac:dyDescent="0.25">
      <c r="F22" s="14"/>
      <c r="G22" s="14"/>
      <c r="L22" s="14"/>
      <c r="M22" s="15"/>
      <c r="N22" s="14"/>
      <c r="O22" s="14"/>
      <c r="Y22" s="44" t="e">
        <f>INT(INDEX('Dados Consolidados'!$R$2:$R$1000000, MATCH(A22, 'Dados Consolidados'!$A$2:$A$1000000, 0)))</f>
        <v>#N/A</v>
      </c>
      <c r="Z22" s="44" t="e">
        <f>INT(INDEX('Dados Consolidados'!$S$2:$S$1000000, MATCH(B22, 'Dados Consolidados'!$B$2:$B$1000000, 0)))</f>
        <v>#N/A</v>
      </c>
      <c r="AA22" s="44" t="e">
        <f>INT(INDEX('Dados Consolidados'!$T$2:$T$1000000, MATCH(E22, 'Dados Consolidados'!$E$2:$E$1000000, 0)))</f>
        <v>#N/A</v>
      </c>
      <c r="AB22" s="44" t="e">
        <f>INT(INDEX('Dados Consolidados'!$U$2:$U$1000000, MATCH(H22, 'Dados Consolidados'!$H$2:$H$1000000, 0)))</f>
        <v>#N/A</v>
      </c>
      <c r="AC22" s="44" t="e">
        <f>INT(INDEX('Dados Consolidados'!$V$2:$V$1000000, MATCH(J22, 'Dados Consolidados'!$J$2:$J$1000000, 0)))</f>
        <v>#N/A</v>
      </c>
      <c r="AD22" s="44" t="e">
        <f>INT(INDEX('Dados Consolidados'!$X$2:$X$1000000, MATCH(K22, 'Dados Consolidados'!$K$2:$K$1000000, 0)))</f>
        <v>#N/A</v>
      </c>
      <c r="AE22" s="44" t="e">
        <f>INT(INDEX('Dados Consolidados'!$W$2:$W$1000000, MATCH(P22, 'Dados Consolidados'!$P$2:$P$1000000, 0)))</f>
        <v>#N/A</v>
      </c>
    </row>
    <row r="23" spans="6:31" ht="20.100000000000001" customHeight="1" x14ac:dyDescent="0.25">
      <c r="F23" s="14"/>
      <c r="G23" s="14"/>
      <c r="L23" s="14"/>
      <c r="M23" s="15"/>
      <c r="N23" s="14"/>
      <c r="O23" s="14"/>
      <c r="Y23" s="44" t="e">
        <f>INT(INDEX('Dados Consolidados'!$R$2:$R$1000000, MATCH(A23, 'Dados Consolidados'!$A$2:$A$1000000, 0)))</f>
        <v>#N/A</v>
      </c>
      <c r="Z23" s="44" t="e">
        <f>INT(INDEX('Dados Consolidados'!$S$2:$S$1000000, MATCH(B23, 'Dados Consolidados'!$B$2:$B$1000000, 0)))</f>
        <v>#N/A</v>
      </c>
      <c r="AA23" s="44" t="e">
        <f>INT(INDEX('Dados Consolidados'!$T$2:$T$1000000, MATCH(E23, 'Dados Consolidados'!$E$2:$E$1000000, 0)))</f>
        <v>#N/A</v>
      </c>
      <c r="AB23" s="44" t="e">
        <f>INT(INDEX('Dados Consolidados'!$U$2:$U$1000000, MATCH(H23, 'Dados Consolidados'!$H$2:$H$1000000, 0)))</f>
        <v>#N/A</v>
      </c>
      <c r="AC23" s="44" t="e">
        <f>INT(INDEX('Dados Consolidados'!$V$2:$V$1000000, MATCH(J23, 'Dados Consolidados'!$J$2:$J$1000000, 0)))</f>
        <v>#N/A</v>
      </c>
      <c r="AD23" s="44" t="e">
        <f>INT(INDEX('Dados Consolidados'!$X$2:$X$1000000, MATCH(K23, 'Dados Consolidados'!$K$2:$K$1000000, 0)))</f>
        <v>#N/A</v>
      </c>
      <c r="AE23" s="44" t="e">
        <f>INT(INDEX('Dados Consolidados'!$W$2:$W$1000000, MATCH(P23, 'Dados Consolidados'!$P$2:$P$1000000, 0)))</f>
        <v>#N/A</v>
      </c>
    </row>
    <row r="24" spans="6:31" ht="20.100000000000001" customHeight="1" x14ac:dyDescent="0.25">
      <c r="F24" s="14"/>
      <c r="G24" s="14"/>
      <c r="L24" s="14"/>
      <c r="M24" s="15"/>
      <c r="N24" s="14"/>
      <c r="O24" s="14"/>
      <c r="Y24" s="44" t="e">
        <f>INT(INDEX('Dados Consolidados'!$R$2:$R$1000000, MATCH(A24, 'Dados Consolidados'!$A$2:$A$1000000, 0)))</f>
        <v>#N/A</v>
      </c>
      <c r="Z24" s="44" t="e">
        <f>INT(INDEX('Dados Consolidados'!$S$2:$S$1000000, MATCH(B24, 'Dados Consolidados'!$B$2:$B$1000000, 0)))</f>
        <v>#N/A</v>
      </c>
      <c r="AA24" s="44" t="e">
        <f>INT(INDEX('Dados Consolidados'!$T$2:$T$1000000, MATCH(E24, 'Dados Consolidados'!$E$2:$E$1000000, 0)))</f>
        <v>#N/A</v>
      </c>
      <c r="AB24" s="44" t="e">
        <f>INT(INDEX('Dados Consolidados'!$U$2:$U$1000000, MATCH(H24, 'Dados Consolidados'!$H$2:$H$1000000, 0)))</f>
        <v>#N/A</v>
      </c>
      <c r="AC24" s="44" t="e">
        <f>INT(INDEX('Dados Consolidados'!$V$2:$V$1000000, MATCH(J24, 'Dados Consolidados'!$J$2:$J$1000000, 0)))</f>
        <v>#N/A</v>
      </c>
      <c r="AD24" s="44" t="e">
        <f>INT(INDEX('Dados Consolidados'!$X$2:$X$1000000, MATCH(K24, 'Dados Consolidados'!$K$2:$K$1000000, 0)))</f>
        <v>#N/A</v>
      </c>
      <c r="AE24" s="44" t="e">
        <f>INT(INDEX('Dados Consolidados'!$W$2:$W$1000000, MATCH(P24, 'Dados Consolidados'!$P$2:$P$1000000, 0)))</f>
        <v>#N/A</v>
      </c>
    </row>
    <row r="25" spans="6:31" ht="20.100000000000001" customHeight="1" x14ac:dyDescent="0.25">
      <c r="F25" s="14"/>
      <c r="G25" s="14"/>
      <c r="L25" s="14"/>
      <c r="M25" s="15"/>
      <c r="N25" s="14"/>
      <c r="O25" s="14"/>
      <c r="Y25" s="44" t="e">
        <f>INT(INDEX('Dados Consolidados'!$R$2:$R$1000000, MATCH(A25, 'Dados Consolidados'!$A$2:$A$1000000, 0)))</f>
        <v>#N/A</v>
      </c>
      <c r="Z25" s="44" t="e">
        <f>INT(INDEX('Dados Consolidados'!$S$2:$S$1000000, MATCH(B25, 'Dados Consolidados'!$B$2:$B$1000000, 0)))</f>
        <v>#N/A</v>
      </c>
      <c r="AA25" s="44" t="e">
        <f>INT(INDEX('Dados Consolidados'!$T$2:$T$1000000, MATCH(E25, 'Dados Consolidados'!$E$2:$E$1000000, 0)))</f>
        <v>#N/A</v>
      </c>
      <c r="AB25" s="44" t="e">
        <f>INT(INDEX('Dados Consolidados'!$U$2:$U$1000000, MATCH(H25, 'Dados Consolidados'!$H$2:$H$1000000, 0)))</f>
        <v>#N/A</v>
      </c>
      <c r="AC25" s="44" t="e">
        <f>INT(INDEX('Dados Consolidados'!$V$2:$V$1000000, MATCH(J25, 'Dados Consolidados'!$J$2:$J$1000000, 0)))</f>
        <v>#N/A</v>
      </c>
      <c r="AD25" s="44" t="e">
        <f>INT(INDEX('Dados Consolidados'!$X$2:$X$1000000, MATCH(K25, 'Dados Consolidados'!$K$2:$K$1000000, 0)))</f>
        <v>#N/A</v>
      </c>
      <c r="AE25" s="44" t="e">
        <f>INT(INDEX('Dados Consolidados'!$W$2:$W$1000000, MATCH(P25, 'Dados Consolidados'!$P$2:$P$1000000, 0)))</f>
        <v>#N/A</v>
      </c>
    </row>
    <row r="26" spans="6:31" ht="20.100000000000001" customHeight="1" x14ac:dyDescent="0.25">
      <c r="F26" s="14"/>
      <c r="G26" s="14"/>
      <c r="L26" s="14"/>
      <c r="M26" s="15"/>
      <c r="N26" s="14"/>
      <c r="O26" s="14"/>
      <c r="Y26" s="44" t="e">
        <f>INT(INDEX('Dados Consolidados'!$R$2:$R$1000000, MATCH(A26, 'Dados Consolidados'!$A$2:$A$1000000, 0)))</f>
        <v>#N/A</v>
      </c>
      <c r="Z26" s="44" t="e">
        <f>INT(INDEX('Dados Consolidados'!$S$2:$S$1000000, MATCH(B26, 'Dados Consolidados'!$B$2:$B$1000000, 0)))</f>
        <v>#N/A</v>
      </c>
      <c r="AA26" s="44" t="e">
        <f>INT(INDEX('Dados Consolidados'!$T$2:$T$1000000, MATCH(E26, 'Dados Consolidados'!$E$2:$E$1000000, 0)))</f>
        <v>#N/A</v>
      </c>
      <c r="AB26" s="44" t="e">
        <f>INT(INDEX('Dados Consolidados'!$U$2:$U$1000000, MATCH(H26, 'Dados Consolidados'!$H$2:$H$1000000, 0)))</f>
        <v>#N/A</v>
      </c>
      <c r="AC26" s="44" t="e">
        <f>INT(INDEX('Dados Consolidados'!$V$2:$V$1000000, MATCH(J26, 'Dados Consolidados'!$J$2:$J$1000000, 0)))</f>
        <v>#N/A</v>
      </c>
      <c r="AD26" s="44" t="e">
        <f>INT(INDEX('Dados Consolidados'!$X$2:$X$1000000, MATCH(K26, 'Dados Consolidados'!$K$2:$K$1000000, 0)))</f>
        <v>#N/A</v>
      </c>
      <c r="AE26" s="44" t="e">
        <f>INT(INDEX('Dados Consolidados'!$W$2:$W$1000000, MATCH(P26, 'Dados Consolidados'!$P$2:$P$1000000, 0)))</f>
        <v>#N/A</v>
      </c>
    </row>
    <row r="27" spans="6:31" ht="20.100000000000001" customHeight="1" x14ac:dyDescent="0.25">
      <c r="F27" s="14"/>
      <c r="G27" s="14"/>
      <c r="L27" s="14"/>
      <c r="M27" s="15"/>
      <c r="N27" s="14"/>
      <c r="O27" s="14"/>
      <c r="Y27" s="44" t="e">
        <f>INT(INDEX('Dados Consolidados'!$R$2:$R$1000000, MATCH(A27, 'Dados Consolidados'!$A$2:$A$1000000, 0)))</f>
        <v>#N/A</v>
      </c>
      <c r="Z27" s="44" t="e">
        <f>INT(INDEX('Dados Consolidados'!$S$2:$S$1000000, MATCH(B27, 'Dados Consolidados'!$B$2:$B$1000000, 0)))</f>
        <v>#N/A</v>
      </c>
      <c r="AA27" s="44" t="e">
        <f>INT(INDEX('Dados Consolidados'!$T$2:$T$1000000, MATCH(E27, 'Dados Consolidados'!$E$2:$E$1000000, 0)))</f>
        <v>#N/A</v>
      </c>
      <c r="AB27" s="44" t="e">
        <f>INT(INDEX('Dados Consolidados'!$U$2:$U$1000000, MATCH(H27, 'Dados Consolidados'!$H$2:$H$1000000, 0)))</f>
        <v>#N/A</v>
      </c>
      <c r="AC27" s="44" t="e">
        <f>INT(INDEX('Dados Consolidados'!$V$2:$V$1000000, MATCH(J27, 'Dados Consolidados'!$J$2:$J$1000000, 0)))</f>
        <v>#N/A</v>
      </c>
      <c r="AD27" s="44" t="e">
        <f>INT(INDEX('Dados Consolidados'!$X$2:$X$1000000, MATCH(K27, 'Dados Consolidados'!$K$2:$K$1000000, 0)))</f>
        <v>#N/A</v>
      </c>
      <c r="AE27" s="44" t="e">
        <f>INT(INDEX('Dados Consolidados'!$W$2:$W$1000000, MATCH(P27, 'Dados Consolidados'!$P$2:$P$1000000, 0)))</f>
        <v>#N/A</v>
      </c>
    </row>
    <row r="28" spans="6:31" ht="20.100000000000001" customHeight="1" x14ac:dyDescent="0.25">
      <c r="F28" s="14"/>
      <c r="G28" s="14"/>
      <c r="L28" s="14"/>
      <c r="M28" s="15"/>
      <c r="N28" s="14"/>
      <c r="O28" s="14"/>
      <c r="Y28" s="44" t="e">
        <f>INT(INDEX('Dados Consolidados'!$R$2:$R$1000000, MATCH(A28, 'Dados Consolidados'!$A$2:$A$1000000, 0)))</f>
        <v>#N/A</v>
      </c>
      <c r="Z28" s="44" t="e">
        <f>INT(INDEX('Dados Consolidados'!$S$2:$S$1000000, MATCH(B28, 'Dados Consolidados'!$B$2:$B$1000000, 0)))</f>
        <v>#N/A</v>
      </c>
      <c r="AA28" s="44" t="e">
        <f>INT(INDEX('Dados Consolidados'!$T$2:$T$1000000, MATCH(E28, 'Dados Consolidados'!$E$2:$E$1000000, 0)))</f>
        <v>#N/A</v>
      </c>
      <c r="AB28" s="44" t="e">
        <f>INT(INDEX('Dados Consolidados'!$U$2:$U$1000000, MATCH(H28, 'Dados Consolidados'!$H$2:$H$1000000, 0)))</f>
        <v>#N/A</v>
      </c>
      <c r="AC28" s="44" t="e">
        <f>INT(INDEX('Dados Consolidados'!$V$2:$V$1000000, MATCH(J28, 'Dados Consolidados'!$J$2:$J$1000000, 0)))</f>
        <v>#N/A</v>
      </c>
      <c r="AD28" s="44" t="e">
        <f>INT(INDEX('Dados Consolidados'!$X$2:$X$1000000, MATCH(K28, 'Dados Consolidados'!$K$2:$K$1000000, 0)))</f>
        <v>#N/A</v>
      </c>
      <c r="AE28" s="44" t="e">
        <f>INT(INDEX('Dados Consolidados'!$W$2:$W$1000000, MATCH(P28, 'Dados Consolidados'!$P$2:$P$1000000, 0)))</f>
        <v>#N/A</v>
      </c>
    </row>
    <row r="29" spans="6:31" ht="20.100000000000001" customHeight="1" x14ac:dyDescent="0.25">
      <c r="F29" s="14"/>
      <c r="G29" s="14"/>
      <c r="L29" s="14"/>
      <c r="M29" s="15"/>
      <c r="N29" s="14"/>
      <c r="O29" s="14"/>
      <c r="Y29" s="44" t="e">
        <f>INT(INDEX('Dados Consolidados'!$R$2:$R$1000000, MATCH(A29, 'Dados Consolidados'!$A$2:$A$1000000, 0)))</f>
        <v>#N/A</v>
      </c>
      <c r="Z29" s="44" t="e">
        <f>INT(INDEX('Dados Consolidados'!$S$2:$S$1000000, MATCH(B29, 'Dados Consolidados'!$B$2:$B$1000000, 0)))</f>
        <v>#N/A</v>
      </c>
      <c r="AA29" s="44" t="e">
        <f>INT(INDEX('Dados Consolidados'!$T$2:$T$1000000, MATCH(E29, 'Dados Consolidados'!$E$2:$E$1000000, 0)))</f>
        <v>#N/A</v>
      </c>
      <c r="AB29" s="44" t="e">
        <f>INT(INDEX('Dados Consolidados'!$U$2:$U$1000000, MATCH(H29, 'Dados Consolidados'!$H$2:$H$1000000, 0)))</f>
        <v>#N/A</v>
      </c>
      <c r="AC29" s="44" t="e">
        <f>INT(INDEX('Dados Consolidados'!$V$2:$V$1000000, MATCH(J29, 'Dados Consolidados'!$J$2:$J$1000000, 0)))</f>
        <v>#N/A</v>
      </c>
      <c r="AD29" s="44" t="e">
        <f>INT(INDEX('Dados Consolidados'!$X$2:$X$1000000, MATCH(K29, 'Dados Consolidados'!$K$2:$K$1000000, 0)))</f>
        <v>#N/A</v>
      </c>
      <c r="AE29" s="44" t="e">
        <f>INT(INDEX('Dados Consolidados'!$W$2:$W$1000000, MATCH(P29, 'Dados Consolidados'!$P$2:$P$1000000, 0)))</f>
        <v>#N/A</v>
      </c>
    </row>
    <row r="30" spans="6:31" ht="20.100000000000001" customHeight="1" x14ac:dyDescent="0.25">
      <c r="F30" s="14"/>
      <c r="G30" s="14"/>
      <c r="L30" s="14"/>
      <c r="M30" s="15"/>
      <c r="N30" s="14"/>
      <c r="O30" s="14"/>
      <c r="Y30" s="44" t="e">
        <f>INT(INDEX('Dados Consolidados'!$R$2:$R$1000000, MATCH(A30, 'Dados Consolidados'!$A$2:$A$1000000, 0)))</f>
        <v>#N/A</v>
      </c>
      <c r="Z30" s="44" t="e">
        <f>INT(INDEX('Dados Consolidados'!$S$2:$S$1000000, MATCH(B30, 'Dados Consolidados'!$B$2:$B$1000000, 0)))</f>
        <v>#N/A</v>
      </c>
      <c r="AA30" s="44" t="e">
        <f>INT(INDEX('Dados Consolidados'!$T$2:$T$1000000, MATCH(E30, 'Dados Consolidados'!$E$2:$E$1000000, 0)))</f>
        <v>#N/A</v>
      </c>
      <c r="AB30" s="44" t="e">
        <f>INT(INDEX('Dados Consolidados'!$U$2:$U$1000000, MATCH(H30, 'Dados Consolidados'!$H$2:$H$1000000, 0)))</f>
        <v>#N/A</v>
      </c>
      <c r="AC30" s="44" t="e">
        <f>INT(INDEX('Dados Consolidados'!$V$2:$V$1000000, MATCH(J30, 'Dados Consolidados'!$J$2:$J$1000000, 0)))</f>
        <v>#N/A</v>
      </c>
      <c r="AD30" s="44" t="e">
        <f>INT(INDEX('Dados Consolidados'!$X$2:$X$1000000, MATCH(K30, 'Dados Consolidados'!$K$2:$K$1000000, 0)))</f>
        <v>#N/A</v>
      </c>
      <c r="AE30" s="44" t="e">
        <f>INT(INDEX('Dados Consolidados'!$W$2:$W$1000000, MATCH(P30, 'Dados Consolidados'!$P$2:$P$1000000, 0)))</f>
        <v>#N/A</v>
      </c>
    </row>
    <row r="31" spans="6:31" ht="20.100000000000001" customHeight="1" x14ac:dyDescent="0.25">
      <c r="F31" s="14"/>
      <c r="G31" s="14"/>
      <c r="L31" s="14"/>
      <c r="M31" s="15"/>
      <c r="N31" s="14"/>
      <c r="O31" s="14"/>
      <c r="Y31" s="44" t="e">
        <f>INT(INDEX('Dados Consolidados'!$R$2:$R$1000000, MATCH(A31, 'Dados Consolidados'!$A$2:$A$1000000, 0)))</f>
        <v>#N/A</v>
      </c>
      <c r="Z31" s="44" t="e">
        <f>INT(INDEX('Dados Consolidados'!$S$2:$S$1000000, MATCH(B31, 'Dados Consolidados'!$B$2:$B$1000000, 0)))</f>
        <v>#N/A</v>
      </c>
      <c r="AA31" s="44" t="e">
        <f>INT(INDEX('Dados Consolidados'!$T$2:$T$1000000, MATCH(E31, 'Dados Consolidados'!$E$2:$E$1000000, 0)))</f>
        <v>#N/A</v>
      </c>
      <c r="AB31" s="44" t="e">
        <f>INT(INDEX('Dados Consolidados'!$U$2:$U$1000000, MATCH(H31, 'Dados Consolidados'!$H$2:$H$1000000, 0)))</f>
        <v>#N/A</v>
      </c>
      <c r="AC31" s="44" t="e">
        <f>INT(INDEX('Dados Consolidados'!$V$2:$V$1000000, MATCH(J31, 'Dados Consolidados'!$J$2:$J$1000000, 0)))</f>
        <v>#N/A</v>
      </c>
      <c r="AD31" s="44" t="e">
        <f>INT(INDEX('Dados Consolidados'!$X$2:$X$1000000, MATCH(K31, 'Dados Consolidados'!$K$2:$K$1000000, 0)))</f>
        <v>#N/A</v>
      </c>
      <c r="AE31" s="44" t="e">
        <f>INT(INDEX('Dados Consolidados'!$W$2:$W$1000000, MATCH(P31, 'Dados Consolidados'!$P$2:$P$1000000, 0)))</f>
        <v>#N/A</v>
      </c>
    </row>
    <row r="32" spans="6:31" ht="20.100000000000001" customHeight="1" x14ac:dyDescent="0.25">
      <c r="F32" s="14"/>
      <c r="G32" s="14"/>
      <c r="L32" s="14"/>
      <c r="M32" s="15"/>
      <c r="N32" s="14"/>
      <c r="O32" s="14"/>
      <c r="Y32" s="44" t="e">
        <f>INT(INDEX('Dados Consolidados'!$R$2:$R$1000000, MATCH(A32, 'Dados Consolidados'!$A$2:$A$1000000, 0)))</f>
        <v>#N/A</v>
      </c>
      <c r="Z32" s="44" t="e">
        <f>INT(INDEX('Dados Consolidados'!$S$2:$S$1000000, MATCH(B32, 'Dados Consolidados'!$B$2:$B$1000000, 0)))</f>
        <v>#N/A</v>
      </c>
      <c r="AA32" s="44" t="e">
        <f>INT(INDEX('Dados Consolidados'!$T$2:$T$1000000, MATCH(E32, 'Dados Consolidados'!$E$2:$E$1000000, 0)))</f>
        <v>#N/A</v>
      </c>
      <c r="AB32" s="44" t="e">
        <f>INT(INDEX('Dados Consolidados'!$U$2:$U$1000000, MATCH(H32, 'Dados Consolidados'!$H$2:$H$1000000, 0)))</f>
        <v>#N/A</v>
      </c>
      <c r="AC32" s="44" t="e">
        <f>INT(INDEX('Dados Consolidados'!$V$2:$V$1000000, MATCH(J32, 'Dados Consolidados'!$J$2:$J$1000000, 0)))</f>
        <v>#N/A</v>
      </c>
      <c r="AD32" s="44" t="e">
        <f>INT(INDEX('Dados Consolidados'!$X$2:$X$1000000, MATCH(K32, 'Dados Consolidados'!$K$2:$K$1000000, 0)))</f>
        <v>#N/A</v>
      </c>
      <c r="AE32" s="44" t="e">
        <f>INT(INDEX('Dados Consolidados'!$W$2:$W$1000000, MATCH(P32, 'Dados Consolidados'!$P$2:$P$1000000, 0)))</f>
        <v>#N/A</v>
      </c>
    </row>
    <row r="33" spans="6:31" ht="20.100000000000001" customHeight="1" x14ac:dyDescent="0.25">
      <c r="F33" s="14"/>
      <c r="G33" s="14"/>
      <c r="L33" s="14"/>
      <c r="M33" s="15"/>
      <c r="N33" s="14"/>
      <c r="O33" s="14"/>
      <c r="Y33" s="44" t="e">
        <f>INT(INDEX('Dados Consolidados'!$R$2:$R$1000000, MATCH(A33, 'Dados Consolidados'!$A$2:$A$1000000, 0)))</f>
        <v>#N/A</v>
      </c>
      <c r="Z33" s="44" t="e">
        <f>INT(INDEX('Dados Consolidados'!$S$2:$S$1000000, MATCH(B33, 'Dados Consolidados'!$B$2:$B$1000000, 0)))</f>
        <v>#N/A</v>
      </c>
      <c r="AA33" s="44" t="e">
        <f>INT(INDEX('Dados Consolidados'!$T$2:$T$1000000, MATCH(E33, 'Dados Consolidados'!$E$2:$E$1000000, 0)))</f>
        <v>#N/A</v>
      </c>
      <c r="AB33" s="44" t="e">
        <f>INT(INDEX('Dados Consolidados'!$U$2:$U$1000000, MATCH(H33, 'Dados Consolidados'!$H$2:$H$1000000, 0)))</f>
        <v>#N/A</v>
      </c>
      <c r="AC33" s="44" t="e">
        <f>INT(INDEX('Dados Consolidados'!$V$2:$V$1000000, MATCH(J33, 'Dados Consolidados'!$J$2:$J$1000000, 0)))</f>
        <v>#N/A</v>
      </c>
      <c r="AD33" s="44" t="e">
        <f>INT(INDEX('Dados Consolidados'!$X$2:$X$1000000, MATCH(K33, 'Dados Consolidados'!$K$2:$K$1000000, 0)))</f>
        <v>#N/A</v>
      </c>
      <c r="AE33" s="44" t="e">
        <f>INT(INDEX('Dados Consolidados'!$W$2:$W$1000000, MATCH(P33, 'Dados Consolidados'!$P$2:$P$1000000, 0)))</f>
        <v>#N/A</v>
      </c>
    </row>
    <row r="34" spans="6:31" ht="20.100000000000001" customHeight="1" x14ac:dyDescent="0.25">
      <c r="F34" s="14"/>
      <c r="G34" s="14"/>
      <c r="L34" s="14"/>
      <c r="M34" s="15"/>
      <c r="N34" s="14"/>
      <c r="O34" s="14"/>
      <c r="Y34" s="44" t="e">
        <f>INT(INDEX('Dados Consolidados'!$R$2:$R$1000000, MATCH(A34, 'Dados Consolidados'!$A$2:$A$1000000, 0)))</f>
        <v>#N/A</v>
      </c>
      <c r="Z34" s="44" t="e">
        <f>INT(INDEX('Dados Consolidados'!$S$2:$S$1000000, MATCH(B34, 'Dados Consolidados'!$B$2:$B$1000000, 0)))</f>
        <v>#N/A</v>
      </c>
      <c r="AA34" s="44" t="e">
        <f>INT(INDEX('Dados Consolidados'!$T$2:$T$1000000, MATCH(E34, 'Dados Consolidados'!$E$2:$E$1000000, 0)))</f>
        <v>#N/A</v>
      </c>
      <c r="AB34" s="44" t="e">
        <f>INT(INDEX('Dados Consolidados'!$U$2:$U$1000000, MATCH(H34, 'Dados Consolidados'!$H$2:$H$1000000, 0)))</f>
        <v>#N/A</v>
      </c>
      <c r="AC34" s="44" t="e">
        <f>INT(INDEX('Dados Consolidados'!$V$2:$V$1000000, MATCH(J34, 'Dados Consolidados'!$J$2:$J$1000000, 0)))</f>
        <v>#N/A</v>
      </c>
      <c r="AD34" s="44" t="e">
        <f>INT(INDEX('Dados Consolidados'!$X$2:$X$1000000, MATCH(K34, 'Dados Consolidados'!$K$2:$K$1000000, 0)))</f>
        <v>#N/A</v>
      </c>
      <c r="AE34" s="44" t="e">
        <f>INT(INDEX('Dados Consolidados'!$W$2:$W$1000000, MATCH(P34, 'Dados Consolidados'!$P$2:$P$1000000, 0)))</f>
        <v>#N/A</v>
      </c>
    </row>
    <row r="35" spans="6:31" ht="20.100000000000001" customHeight="1" x14ac:dyDescent="0.25">
      <c r="F35" s="14"/>
      <c r="G35" s="14"/>
      <c r="L35" s="14"/>
      <c r="M35" s="15"/>
      <c r="N35" s="14"/>
      <c r="O35" s="14"/>
      <c r="Y35" s="44" t="e">
        <f>INT(INDEX('Dados Consolidados'!$R$2:$R$1000000, MATCH(A35, 'Dados Consolidados'!$A$2:$A$1000000, 0)))</f>
        <v>#N/A</v>
      </c>
      <c r="Z35" s="44" t="e">
        <f>INT(INDEX('Dados Consolidados'!$S$2:$S$1000000, MATCH(B35, 'Dados Consolidados'!$B$2:$B$1000000, 0)))</f>
        <v>#N/A</v>
      </c>
      <c r="AA35" s="44" t="e">
        <f>INT(INDEX('Dados Consolidados'!$T$2:$T$1000000, MATCH(E35, 'Dados Consolidados'!$E$2:$E$1000000, 0)))</f>
        <v>#N/A</v>
      </c>
      <c r="AB35" s="44" t="e">
        <f>INT(INDEX('Dados Consolidados'!$U$2:$U$1000000, MATCH(H35, 'Dados Consolidados'!$H$2:$H$1000000, 0)))</f>
        <v>#N/A</v>
      </c>
      <c r="AC35" s="44" t="e">
        <f>INT(INDEX('Dados Consolidados'!$V$2:$V$1000000, MATCH(J35, 'Dados Consolidados'!$J$2:$J$1000000, 0)))</f>
        <v>#N/A</v>
      </c>
      <c r="AD35" s="44" t="e">
        <f>INT(INDEX('Dados Consolidados'!$X$2:$X$1000000, MATCH(K35, 'Dados Consolidados'!$K$2:$K$1000000, 0)))</f>
        <v>#N/A</v>
      </c>
      <c r="AE35" s="44" t="e">
        <f>INT(INDEX('Dados Consolidados'!$W$2:$W$1000000, MATCH(P35, 'Dados Consolidados'!$P$2:$P$1000000, 0)))</f>
        <v>#N/A</v>
      </c>
    </row>
    <row r="36" spans="6:31" ht="20.100000000000001" customHeight="1" x14ac:dyDescent="0.25">
      <c r="F36" s="14"/>
      <c r="G36" s="14"/>
      <c r="L36" s="14"/>
      <c r="M36" s="15"/>
      <c r="N36" s="14"/>
      <c r="O36" s="14"/>
      <c r="Y36" s="44" t="e">
        <f>INT(INDEX('Dados Consolidados'!$R$2:$R$1000000, MATCH(A36, 'Dados Consolidados'!$A$2:$A$1000000, 0)))</f>
        <v>#N/A</v>
      </c>
      <c r="Z36" s="44" t="e">
        <f>INT(INDEX('Dados Consolidados'!$S$2:$S$1000000, MATCH(B36, 'Dados Consolidados'!$B$2:$B$1000000, 0)))</f>
        <v>#N/A</v>
      </c>
      <c r="AA36" s="44" t="e">
        <f>INT(INDEX('Dados Consolidados'!$T$2:$T$1000000, MATCH(E36, 'Dados Consolidados'!$E$2:$E$1000000, 0)))</f>
        <v>#N/A</v>
      </c>
      <c r="AB36" s="44" t="e">
        <f>INT(INDEX('Dados Consolidados'!$U$2:$U$1000000, MATCH(H36, 'Dados Consolidados'!$H$2:$H$1000000, 0)))</f>
        <v>#N/A</v>
      </c>
      <c r="AC36" s="44" t="e">
        <f>INT(INDEX('Dados Consolidados'!$V$2:$V$1000000, MATCH(J36, 'Dados Consolidados'!$J$2:$J$1000000, 0)))</f>
        <v>#N/A</v>
      </c>
      <c r="AD36" s="44" t="e">
        <f>INT(INDEX('Dados Consolidados'!$X$2:$X$1000000, MATCH(K36, 'Dados Consolidados'!$K$2:$K$1000000, 0)))</f>
        <v>#N/A</v>
      </c>
      <c r="AE36" s="44" t="e">
        <f>INT(INDEX('Dados Consolidados'!$W$2:$W$1000000, MATCH(P36, 'Dados Consolidados'!$P$2:$P$1000000, 0)))</f>
        <v>#N/A</v>
      </c>
    </row>
    <row r="37" spans="6:31" ht="20.100000000000001" customHeight="1" x14ac:dyDescent="0.25">
      <c r="F37" s="14"/>
      <c r="G37" s="14"/>
      <c r="L37" s="14"/>
      <c r="M37" s="15"/>
      <c r="N37" s="14"/>
      <c r="O37" s="14"/>
      <c r="Y37" s="44" t="e">
        <f>INT(INDEX('Dados Consolidados'!$R$2:$R$1000000, MATCH(A37, 'Dados Consolidados'!$A$2:$A$1000000, 0)))</f>
        <v>#N/A</v>
      </c>
      <c r="Z37" s="44" t="e">
        <f>INT(INDEX('Dados Consolidados'!$S$2:$S$1000000, MATCH(B37, 'Dados Consolidados'!$B$2:$B$1000000, 0)))</f>
        <v>#N/A</v>
      </c>
      <c r="AA37" s="44" t="e">
        <f>INT(INDEX('Dados Consolidados'!$T$2:$T$1000000, MATCH(E37, 'Dados Consolidados'!$E$2:$E$1000000, 0)))</f>
        <v>#N/A</v>
      </c>
      <c r="AB37" s="44" t="e">
        <f>INT(INDEX('Dados Consolidados'!$U$2:$U$1000000, MATCH(H37, 'Dados Consolidados'!$H$2:$H$1000000, 0)))</f>
        <v>#N/A</v>
      </c>
      <c r="AC37" s="44" t="e">
        <f>INT(INDEX('Dados Consolidados'!$V$2:$V$1000000, MATCH(J37, 'Dados Consolidados'!$J$2:$J$1000000, 0)))</f>
        <v>#N/A</v>
      </c>
      <c r="AD37" s="44" t="e">
        <f>INT(INDEX('Dados Consolidados'!$X$2:$X$1000000, MATCH(K37, 'Dados Consolidados'!$K$2:$K$1000000, 0)))</f>
        <v>#N/A</v>
      </c>
      <c r="AE37" s="44" t="e">
        <f>INT(INDEX('Dados Consolidados'!$W$2:$W$1000000, MATCH(P37, 'Dados Consolidados'!$P$2:$P$1000000, 0)))</f>
        <v>#N/A</v>
      </c>
    </row>
    <row r="38" spans="6:31" ht="20.100000000000001" customHeight="1" x14ac:dyDescent="0.25">
      <c r="F38" s="14"/>
      <c r="G38" s="14"/>
      <c r="L38" s="14"/>
      <c r="M38" s="15"/>
      <c r="N38" s="14"/>
      <c r="O38" s="14"/>
      <c r="Y38" s="44" t="e">
        <f>INT(INDEX('Dados Consolidados'!$R$2:$R$1000000, MATCH(A38, 'Dados Consolidados'!$A$2:$A$1000000, 0)))</f>
        <v>#N/A</v>
      </c>
      <c r="Z38" s="44" t="e">
        <f>INT(INDEX('Dados Consolidados'!$S$2:$S$1000000, MATCH(B38, 'Dados Consolidados'!$B$2:$B$1000000, 0)))</f>
        <v>#N/A</v>
      </c>
      <c r="AA38" s="44" t="e">
        <f>INT(INDEX('Dados Consolidados'!$T$2:$T$1000000, MATCH(E38, 'Dados Consolidados'!$E$2:$E$1000000, 0)))</f>
        <v>#N/A</v>
      </c>
      <c r="AB38" s="44" t="e">
        <f>INT(INDEX('Dados Consolidados'!$U$2:$U$1000000, MATCH(H38, 'Dados Consolidados'!$H$2:$H$1000000, 0)))</f>
        <v>#N/A</v>
      </c>
      <c r="AC38" s="44" t="e">
        <f>INT(INDEX('Dados Consolidados'!$V$2:$V$1000000, MATCH(J38, 'Dados Consolidados'!$J$2:$J$1000000, 0)))</f>
        <v>#N/A</v>
      </c>
      <c r="AD38" s="44" t="e">
        <f>INT(INDEX('Dados Consolidados'!$X$2:$X$1000000, MATCH(K38, 'Dados Consolidados'!$K$2:$K$1000000, 0)))</f>
        <v>#N/A</v>
      </c>
      <c r="AE38" s="44" t="e">
        <f>INT(INDEX('Dados Consolidados'!$W$2:$W$1000000, MATCH(P38, 'Dados Consolidados'!$P$2:$P$1000000, 0)))</f>
        <v>#N/A</v>
      </c>
    </row>
    <row r="39" spans="6:31" ht="20.100000000000001" customHeight="1" x14ac:dyDescent="0.25">
      <c r="F39" s="14"/>
      <c r="G39" s="14"/>
      <c r="L39" s="14"/>
      <c r="M39" s="15"/>
      <c r="N39" s="14"/>
      <c r="O39" s="14"/>
      <c r="Y39" s="44" t="e">
        <f>INT(INDEX('Dados Consolidados'!$R$2:$R$1000000, MATCH(A39, 'Dados Consolidados'!$A$2:$A$1000000, 0)))</f>
        <v>#N/A</v>
      </c>
      <c r="Z39" s="44" t="e">
        <f>INT(INDEX('Dados Consolidados'!$S$2:$S$1000000, MATCH(B39, 'Dados Consolidados'!$B$2:$B$1000000, 0)))</f>
        <v>#N/A</v>
      </c>
      <c r="AA39" s="44" t="e">
        <f>INT(INDEX('Dados Consolidados'!$T$2:$T$1000000, MATCH(E39, 'Dados Consolidados'!$E$2:$E$1000000, 0)))</f>
        <v>#N/A</v>
      </c>
      <c r="AB39" s="44" t="e">
        <f>INT(INDEX('Dados Consolidados'!$U$2:$U$1000000, MATCH(H39, 'Dados Consolidados'!$H$2:$H$1000000, 0)))</f>
        <v>#N/A</v>
      </c>
      <c r="AC39" s="44" t="e">
        <f>INT(INDEX('Dados Consolidados'!$V$2:$V$1000000, MATCH(J39, 'Dados Consolidados'!$J$2:$J$1000000, 0)))</f>
        <v>#N/A</v>
      </c>
      <c r="AD39" s="44" t="e">
        <f>INT(INDEX('Dados Consolidados'!$X$2:$X$1000000, MATCH(K39, 'Dados Consolidados'!$K$2:$K$1000000, 0)))</f>
        <v>#N/A</v>
      </c>
      <c r="AE39" s="44" t="e">
        <f>INT(INDEX('Dados Consolidados'!$W$2:$W$1000000, MATCH(P39, 'Dados Consolidados'!$P$2:$P$1000000, 0)))</f>
        <v>#N/A</v>
      </c>
    </row>
    <row r="40" spans="6:31" ht="20.100000000000001" customHeight="1" x14ac:dyDescent="0.25">
      <c r="F40" s="14"/>
      <c r="G40" s="14"/>
      <c r="L40" s="14"/>
      <c r="M40" s="15"/>
      <c r="N40" s="14"/>
      <c r="O40" s="14"/>
      <c r="Y40" s="44" t="e">
        <f>INT(INDEX('Dados Consolidados'!$R$2:$R$1000000, MATCH(A40, 'Dados Consolidados'!$A$2:$A$1000000, 0)))</f>
        <v>#N/A</v>
      </c>
      <c r="Z40" s="44" t="e">
        <f>INT(INDEX('Dados Consolidados'!$S$2:$S$1000000, MATCH(B40, 'Dados Consolidados'!$B$2:$B$1000000, 0)))</f>
        <v>#N/A</v>
      </c>
      <c r="AA40" s="44" t="e">
        <f>INT(INDEX('Dados Consolidados'!$T$2:$T$1000000, MATCH(E40, 'Dados Consolidados'!$E$2:$E$1000000, 0)))</f>
        <v>#N/A</v>
      </c>
      <c r="AB40" s="44" t="e">
        <f>INT(INDEX('Dados Consolidados'!$U$2:$U$1000000, MATCH(H40, 'Dados Consolidados'!$H$2:$H$1000000, 0)))</f>
        <v>#N/A</v>
      </c>
      <c r="AC40" s="44" t="e">
        <f>INT(INDEX('Dados Consolidados'!$V$2:$V$1000000, MATCH(J40, 'Dados Consolidados'!$J$2:$J$1000000, 0)))</f>
        <v>#N/A</v>
      </c>
      <c r="AD40" s="44" t="e">
        <f>INT(INDEX('Dados Consolidados'!$X$2:$X$1000000, MATCH(K40, 'Dados Consolidados'!$K$2:$K$1000000, 0)))</f>
        <v>#N/A</v>
      </c>
      <c r="AE40" s="44" t="e">
        <f>INT(INDEX('Dados Consolidados'!$W$2:$W$1000000, MATCH(P40, 'Dados Consolidados'!$P$2:$P$1000000, 0)))</f>
        <v>#N/A</v>
      </c>
    </row>
    <row r="41" spans="6:31" ht="20.100000000000001" customHeight="1" x14ac:dyDescent="0.25">
      <c r="F41" s="14"/>
      <c r="G41" s="14"/>
      <c r="L41" s="14"/>
      <c r="M41" s="15"/>
      <c r="N41" s="14"/>
      <c r="O41" s="14"/>
      <c r="Y41" s="44" t="e">
        <f>INT(INDEX('Dados Consolidados'!$R$2:$R$1000000, MATCH(A41, 'Dados Consolidados'!$A$2:$A$1000000, 0)))</f>
        <v>#N/A</v>
      </c>
      <c r="Z41" s="44" t="e">
        <f>INT(INDEX('Dados Consolidados'!$S$2:$S$1000000, MATCH(B41, 'Dados Consolidados'!$B$2:$B$1000000, 0)))</f>
        <v>#N/A</v>
      </c>
      <c r="AA41" s="44" t="e">
        <f>INT(INDEX('Dados Consolidados'!$T$2:$T$1000000, MATCH(E41, 'Dados Consolidados'!$E$2:$E$1000000, 0)))</f>
        <v>#N/A</v>
      </c>
      <c r="AB41" s="44" t="e">
        <f>INT(INDEX('Dados Consolidados'!$U$2:$U$1000000, MATCH(H41, 'Dados Consolidados'!$H$2:$H$1000000, 0)))</f>
        <v>#N/A</v>
      </c>
      <c r="AC41" s="44" t="e">
        <f>INT(INDEX('Dados Consolidados'!$V$2:$V$1000000, MATCH(J41, 'Dados Consolidados'!$J$2:$J$1000000, 0)))</f>
        <v>#N/A</v>
      </c>
      <c r="AD41" s="44" t="e">
        <f>INT(INDEX('Dados Consolidados'!$X$2:$X$1000000, MATCH(K41, 'Dados Consolidados'!$K$2:$K$1000000, 0)))</f>
        <v>#N/A</v>
      </c>
      <c r="AE41" s="44" t="e">
        <f>INT(INDEX('Dados Consolidados'!$W$2:$W$1000000, MATCH(P41, 'Dados Consolidados'!$P$2:$P$1000000, 0)))</f>
        <v>#N/A</v>
      </c>
    </row>
    <row r="42" spans="6:31" ht="20.100000000000001" customHeight="1" x14ac:dyDescent="0.25">
      <c r="F42" s="14"/>
      <c r="G42" s="14"/>
      <c r="L42" s="14"/>
      <c r="M42" s="15"/>
      <c r="N42" s="14"/>
      <c r="O42" s="14"/>
      <c r="Y42" s="44" t="e">
        <f>INT(INDEX('Dados Consolidados'!$R$2:$R$1000000, MATCH(A42, 'Dados Consolidados'!$A$2:$A$1000000, 0)))</f>
        <v>#N/A</v>
      </c>
      <c r="Z42" s="44" t="e">
        <f>INT(INDEX('Dados Consolidados'!$S$2:$S$1000000, MATCH(B42, 'Dados Consolidados'!$B$2:$B$1000000, 0)))</f>
        <v>#N/A</v>
      </c>
      <c r="AA42" s="44" t="e">
        <f>INT(INDEX('Dados Consolidados'!$T$2:$T$1000000, MATCH(E42, 'Dados Consolidados'!$E$2:$E$1000000, 0)))</f>
        <v>#N/A</v>
      </c>
      <c r="AB42" s="44" t="e">
        <f>INT(INDEX('Dados Consolidados'!$U$2:$U$1000000, MATCH(H42, 'Dados Consolidados'!$H$2:$H$1000000, 0)))</f>
        <v>#N/A</v>
      </c>
      <c r="AC42" s="44" t="e">
        <f>INT(INDEX('Dados Consolidados'!$V$2:$V$1000000, MATCH(J42, 'Dados Consolidados'!$J$2:$J$1000000, 0)))</f>
        <v>#N/A</v>
      </c>
      <c r="AD42" s="44" t="e">
        <f>INT(INDEX('Dados Consolidados'!$X$2:$X$1000000, MATCH(K42, 'Dados Consolidados'!$K$2:$K$1000000, 0)))</f>
        <v>#N/A</v>
      </c>
      <c r="AE42" s="44" t="e">
        <f>INT(INDEX('Dados Consolidados'!$W$2:$W$1000000, MATCH(P42, 'Dados Consolidados'!$P$2:$P$1000000, 0)))</f>
        <v>#N/A</v>
      </c>
    </row>
    <row r="43" spans="6:31" ht="20.100000000000001" customHeight="1" x14ac:dyDescent="0.25">
      <c r="F43" s="14"/>
      <c r="G43" s="14"/>
      <c r="L43" s="14"/>
      <c r="M43" s="15"/>
      <c r="N43" s="14"/>
      <c r="O43" s="14"/>
      <c r="Y43" s="44" t="e">
        <f>INT(INDEX('Dados Consolidados'!$R$2:$R$1000000, MATCH(A43, 'Dados Consolidados'!$A$2:$A$1000000, 0)))</f>
        <v>#N/A</v>
      </c>
      <c r="Z43" s="44" t="e">
        <f>INT(INDEX('Dados Consolidados'!$S$2:$S$1000000, MATCH(B43, 'Dados Consolidados'!$B$2:$B$1000000, 0)))</f>
        <v>#N/A</v>
      </c>
      <c r="AA43" s="44" t="e">
        <f>INT(INDEX('Dados Consolidados'!$T$2:$T$1000000, MATCH(E43, 'Dados Consolidados'!$E$2:$E$1000000, 0)))</f>
        <v>#N/A</v>
      </c>
      <c r="AB43" s="44" t="e">
        <f>INT(INDEX('Dados Consolidados'!$U$2:$U$1000000, MATCH(H43, 'Dados Consolidados'!$H$2:$H$1000000, 0)))</f>
        <v>#N/A</v>
      </c>
      <c r="AC43" s="44" t="e">
        <f>INT(INDEX('Dados Consolidados'!$V$2:$V$1000000, MATCH(J43, 'Dados Consolidados'!$J$2:$J$1000000, 0)))</f>
        <v>#N/A</v>
      </c>
      <c r="AD43" s="44" t="e">
        <f>INT(INDEX('Dados Consolidados'!$X$2:$X$1000000, MATCH(K43, 'Dados Consolidados'!$K$2:$K$1000000, 0)))</f>
        <v>#N/A</v>
      </c>
      <c r="AE43" s="44" t="e">
        <f>INT(INDEX('Dados Consolidados'!$W$2:$W$1000000, MATCH(P43, 'Dados Consolidados'!$P$2:$P$1000000, 0)))</f>
        <v>#N/A</v>
      </c>
    </row>
    <row r="44" spans="6:31" ht="20.100000000000001" customHeight="1" x14ac:dyDescent="0.25">
      <c r="F44" s="14"/>
      <c r="G44" s="14"/>
      <c r="L44" s="14"/>
      <c r="M44" s="15"/>
      <c r="N44" s="14"/>
      <c r="O44" s="14"/>
      <c r="Y44" s="44" t="e">
        <f>INT(INDEX('Dados Consolidados'!$R$2:$R$1000000, MATCH(A44, 'Dados Consolidados'!$A$2:$A$1000000, 0)))</f>
        <v>#N/A</v>
      </c>
      <c r="Z44" s="44" t="e">
        <f>INT(INDEX('Dados Consolidados'!$S$2:$S$1000000, MATCH(B44, 'Dados Consolidados'!$B$2:$B$1000000, 0)))</f>
        <v>#N/A</v>
      </c>
      <c r="AA44" s="44" t="e">
        <f>INT(INDEX('Dados Consolidados'!$T$2:$T$1000000, MATCH(E44, 'Dados Consolidados'!$E$2:$E$1000000, 0)))</f>
        <v>#N/A</v>
      </c>
      <c r="AB44" s="44" t="e">
        <f>INT(INDEX('Dados Consolidados'!$U$2:$U$1000000, MATCH(H44, 'Dados Consolidados'!$H$2:$H$1000000, 0)))</f>
        <v>#N/A</v>
      </c>
      <c r="AC44" s="44" t="e">
        <f>INT(INDEX('Dados Consolidados'!$V$2:$V$1000000, MATCH(J44, 'Dados Consolidados'!$J$2:$J$1000000, 0)))</f>
        <v>#N/A</v>
      </c>
      <c r="AD44" s="44" t="e">
        <f>INT(INDEX('Dados Consolidados'!$X$2:$X$1000000, MATCH(K44, 'Dados Consolidados'!$K$2:$K$1000000, 0)))</f>
        <v>#N/A</v>
      </c>
      <c r="AE44" s="44" t="e">
        <f>INT(INDEX('Dados Consolidados'!$W$2:$W$1000000, MATCH(P44, 'Dados Consolidados'!$P$2:$P$1000000, 0)))</f>
        <v>#N/A</v>
      </c>
    </row>
    <row r="45" spans="6:31" ht="20.100000000000001" customHeight="1" x14ac:dyDescent="0.25">
      <c r="F45" s="14"/>
      <c r="G45" s="14"/>
      <c r="L45" s="14"/>
      <c r="M45" s="15"/>
      <c r="N45" s="14"/>
      <c r="O45" s="14"/>
      <c r="Y45" s="44" t="e">
        <f>INT(INDEX('Dados Consolidados'!$R$2:$R$1000000, MATCH(A45, 'Dados Consolidados'!$A$2:$A$1000000, 0)))</f>
        <v>#N/A</v>
      </c>
      <c r="Z45" s="44" t="e">
        <f>INT(INDEX('Dados Consolidados'!$S$2:$S$1000000, MATCH(B45, 'Dados Consolidados'!$B$2:$B$1000000, 0)))</f>
        <v>#N/A</v>
      </c>
      <c r="AA45" s="44" t="e">
        <f>INT(INDEX('Dados Consolidados'!$T$2:$T$1000000, MATCH(E45, 'Dados Consolidados'!$E$2:$E$1000000, 0)))</f>
        <v>#N/A</v>
      </c>
      <c r="AB45" s="44" t="e">
        <f>INT(INDEX('Dados Consolidados'!$U$2:$U$1000000, MATCH(H45, 'Dados Consolidados'!$H$2:$H$1000000, 0)))</f>
        <v>#N/A</v>
      </c>
      <c r="AC45" s="44" t="e">
        <f>INT(INDEX('Dados Consolidados'!$V$2:$V$1000000, MATCH(J45, 'Dados Consolidados'!$J$2:$J$1000000, 0)))</f>
        <v>#N/A</v>
      </c>
      <c r="AD45" s="44" t="e">
        <f>INT(INDEX('Dados Consolidados'!$X$2:$X$1000000, MATCH(K45, 'Dados Consolidados'!$K$2:$K$1000000, 0)))</f>
        <v>#N/A</v>
      </c>
      <c r="AE45" s="44" t="e">
        <f>INT(INDEX('Dados Consolidados'!$W$2:$W$1000000, MATCH(P45, 'Dados Consolidados'!$P$2:$P$1000000, 0)))</f>
        <v>#N/A</v>
      </c>
    </row>
    <row r="46" spans="6:31" ht="20.100000000000001" customHeight="1" x14ac:dyDescent="0.25">
      <c r="F46" s="14"/>
      <c r="G46" s="14"/>
      <c r="L46" s="14"/>
      <c r="M46" s="15"/>
      <c r="N46" s="14"/>
      <c r="O46" s="14"/>
      <c r="Y46" s="44" t="e">
        <f>INT(INDEX('Dados Consolidados'!$R$2:$R$1000000, MATCH(A46, 'Dados Consolidados'!$A$2:$A$1000000, 0)))</f>
        <v>#N/A</v>
      </c>
      <c r="Z46" s="44" t="e">
        <f>INT(INDEX('Dados Consolidados'!$S$2:$S$1000000, MATCH(B46, 'Dados Consolidados'!$B$2:$B$1000000, 0)))</f>
        <v>#N/A</v>
      </c>
      <c r="AA46" s="44" t="e">
        <f>INT(INDEX('Dados Consolidados'!$T$2:$T$1000000, MATCH(E46, 'Dados Consolidados'!$E$2:$E$1000000, 0)))</f>
        <v>#N/A</v>
      </c>
      <c r="AB46" s="44" t="e">
        <f>INT(INDEX('Dados Consolidados'!$U$2:$U$1000000, MATCH(H46, 'Dados Consolidados'!$H$2:$H$1000000, 0)))</f>
        <v>#N/A</v>
      </c>
      <c r="AC46" s="44" t="e">
        <f>INT(INDEX('Dados Consolidados'!$V$2:$V$1000000, MATCH(J46, 'Dados Consolidados'!$J$2:$J$1000000, 0)))</f>
        <v>#N/A</v>
      </c>
      <c r="AD46" s="44" t="e">
        <f>INT(INDEX('Dados Consolidados'!$X$2:$X$1000000, MATCH(K46, 'Dados Consolidados'!$K$2:$K$1000000, 0)))</f>
        <v>#N/A</v>
      </c>
      <c r="AE46" s="44" t="e">
        <f>INT(INDEX('Dados Consolidados'!$W$2:$W$1000000, MATCH(P46, 'Dados Consolidados'!$P$2:$P$1000000, 0)))</f>
        <v>#N/A</v>
      </c>
    </row>
    <row r="47" spans="6:31" ht="20.100000000000001" customHeight="1" x14ac:dyDescent="0.25">
      <c r="F47" s="14"/>
      <c r="G47" s="14"/>
      <c r="L47" s="14"/>
      <c r="M47" s="15"/>
      <c r="N47" s="14"/>
      <c r="O47" s="14"/>
      <c r="Y47" s="44" t="e">
        <f>INT(INDEX('Dados Consolidados'!$R$2:$R$1000000, MATCH(A47, 'Dados Consolidados'!$A$2:$A$1000000, 0)))</f>
        <v>#N/A</v>
      </c>
      <c r="Z47" s="44" t="e">
        <f>INT(INDEX('Dados Consolidados'!$S$2:$S$1000000, MATCH(B47, 'Dados Consolidados'!$B$2:$B$1000000, 0)))</f>
        <v>#N/A</v>
      </c>
      <c r="AA47" s="44" t="e">
        <f>INT(INDEX('Dados Consolidados'!$T$2:$T$1000000, MATCH(E47, 'Dados Consolidados'!$E$2:$E$1000000, 0)))</f>
        <v>#N/A</v>
      </c>
      <c r="AB47" s="44" t="e">
        <f>INT(INDEX('Dados Consolidados'!$U$2:$U$1000000, MATCH(H47, 'Dados Consolidados'!$H$2:$H$1000000, 0)))</f>
        <v>#N/A</v>
      </c>
      <c r="AC47" s="44" t="e">
        <f>INT(INDEX('Dados Consolidados'!$V$2:$V$1000000, MATCH(J47, 'Dados Consolidados'!$J$2:$J$1000000, 0)))</f>
        <v>#N/A</v>
      </c>
      <c r="AD47" s="44" t="e">
        <f>INT(INDEX('Dados Consolidados'!$X$2:$X$1000000, MATCH(K47, 'Dados Consolidados'!$K$2:$K$1000000, 0)))</f>
        <v>#N/A</v>
      </c>
      <c r="AE47" s="44" t="e">
        <f>INT(INDEX('Dados Consolidados'!$W$2:$W$1000000, MATCH(P47, 'Dados Consolidados'!$P$2:$P$1000000, 0)))</f>
        <v>#N/A</v>
      </c>
    </row>
    <row r="48" spans="6:31" ht="20.100000000000001" customHeight="1" x14ac:dyDescent="0.25">
      <c r="F48" s="14"/>
      <c r="G48" s="14"/>
      <c r="L48" s="14"/>
      <c r="M48" s="15"/>
      <c r="N48" s="14"/>
      <c r="O48" s="14"/>
      <c r="Y48" s="44" t="e">
        <f>INT(INDEX('Dados Consolidados'!$R$2:$R$1000000, MATCH(A48, 'Dados Consolidados'!$A$2:$A$1000000, 0)))</f>
        <v>#N/A</v>
      </c>
      <c r="Z48" s="44" t="e">
        <f>INT(INDEX('Dados Consolidados'!$S$2:$S$1000000, MATCH(B48, 'Dados Consolidados'!$B$2:$B$1000000, 0)))</f>
        <v>#N/A</v>
      </c>
      <c r="AA48" s="44" t="e">
        <f>INT(INDEX('Dados Consolidados'!$T$2:$T$1000000, MATCH(E48, 'Dados Consolidados'!$E$2:$E$1000000, 0)))</f>
        <v>#N/A</v>
      </c>
      <c r="AB48" s="44" t="e">
        <f>INT(INDEX('Dados Consolidados'!$U$2:$U$1000000, MATCH(H48, 'Dados Consolidados'!$H$2:$H$1000000, 0)))</f>
        <v>#N/A</v>
      </c>
      <c r="AC48" s="44" t="e">
        <f>INT(INDEX('Dados Consolidados'!$V$2:$V$1000000, MATCH(J48, 'Dados Consolidados'!$J$2:$J$1000000, 0)))</f>
        <v>#N/A</v>
      </c>
      <c r="AD48" s="44" t="e">
        <f>INT(INDEX('Dados Consolidados'!$X$2:$X$1000000, MATCH(K48, 'Dados Consolidados'!$K$2:$K$1000000, 0)))</f>
        <v>#N/A</v>
      </c>
      <c r="AE48" s="44" t="e">
        <f>INT(INDEX('Dados Consolidados'!$W$2:$W$1000000, MATCH(P48, 'Dados Consolidados'!$P$2:$P$1000000, 0)))</f>
        <v>#N/A</v>
      </c>
    </row>
    <row r="49" spans="6:31" ht="20.100000000000001" customHeight="1" x14ac:dyDescent="0.25">
      <c r="F49" s="14"/>
      <c r="G49" s="14"/>
      <c r="L49" s="14"/>
      <c r="M49" s="15"/>
      <c r="N49" s="14"/>
      <c r="O49" s="14"/>
      <c r="Y49" s="44" t="e">
        <f>INT(INDEX('Dados Consolidados'!$R$2:$R$1000000, MATCH(A49, 'Dados Consolidados'!$A$2:$A$1000000, 0)))</f>
        <v>#N/A</v>
      </c>
      <c r="Z49" s="44" t="e">
        <f>INT(INDEX('Dados Consolidados'!$S$2:$S$1000000, MATCH(B49, 'Dados Consolidados'!$B$2:$B$1000000, 0)))</f>
        <v>#N/A</v>
      </c>
      <c r="AA49" s="44" t="e">
        <f>INT(INDEX('Dados Consolidados'!$T$2:$T$1000000, MATCH(E49, 'Dados Consolidados'!$E$2:$E$1000000, 0)))</f>
        <v>#N/A</v>
      </c>
      <c r="AB49" s="44" t="e">
        <f>INT(INDEX('Dados Consolidados'!$U$2:$U$1000000, MATCH(H49, 'Dados Consolidados'!$H$2:$H$1000000, 0)))</f>
        <v>#N/A</v>
      </c>
      <c r="AC49" s="44" t="e">
        <f>INT(INDEX('Dados Consolidados'!$V$2:$V$1000000, MATCH(J49, 'Dados Consolidados'!$J$2:$J$1000000, 0)))</f>
        <v>#N/A</v>
      </c>
      <c r="AD49" s="44" t="e">
        <f>INT(INDEX('Dados Consolidados'!$X$2:$X$1000000, MATCH(K49, 'Dados Consolidados'!$K$2:$K$1000000, 0)))</f>
        <v>#N/A</v>
      </c>
      <c r="AE49" s="44" t="e">
        <f>INT(INDEX('Dados Consolidados'!$W$2:$W$1000000, MATCH(P49, 'Dados Consolidados'!$P$2:$P$1000000, 0)))</f>
        <v>#N/A</v>
      </c>
    </row>
    <row r="50" spans="6:31" ht="20.100000000000001" customHeight="1" x14ac:dyDescent="0.25">
      <c r="F50" s="14"/>
      <c r="G50" s="14"/>
      <c r="L50" s="14"/>
      <c r="M50" s="15"/>
      <c r="N50" s="14"/>
      <c r="O50" s="14"/>
      <c r="Y50" s="44" t="e">
        <f>INT(INDEX('Dados Consolidados'!$R$2:$R$1000000, MATCH(A50, 'Dados Consolidados'!$A$2:$A$1000000, 0)))</f>
        <v>#N/A</v>
      </c>
      <c r="Z50" s="44" t="e">
        <f>INT(INDEX('Dados Consolidados'!$S$2:$S$1000000, MATCH(B50, 'Dados Consolidados'!$B$2:$B$1000000, 0)))</f>
        <v>#N/A</v>
      </c>
      <c r="AA50" s="44" t="e">
        <f>INT(INDEX('Dados Consolidados'!$T$2:$T$1000000, MATCH(E50, 'Dados Consolidados'!$E$2:$E$1000000, 0)))</f>
        <v>#N/A</v>
      </c>
      <c r="AB50" s="44" t="e">
        <f>INT(INDEX('Dados Consolidados'!$U$2:$U$1000000, MATCH(H50, 'Dados Consolidados'!$H$2:$H$1000000, 0)))</f>
        <v>#N/A</v>
      </c>
      <c r="AC50" s="44" t="e">
        <f>INT(INDEX('Dados Consolidados'!$V$2:$V$1000000, MATCH(J50, 'Dados Consolidados'!$J$2:$J$1000000, 0)))</f>
        <v>#N/A</v>
      </c>
      <c r="AD50" s="44" t="e">
        <f>INT(INDEX('Dados Consolidados'!$X$2:$X$1000000, MATCH(K50, 'Dados Consolidados'!$K$2:$K$1000000, 0)))</f>
        <v>#N/A</v>
      </c>
      <c r="AE50" s="44" t="e">
        <f>INT(INDEX('Dados Consolidados'!$W$2:$W$1000000, MATCH(P50, 'Dados Consolidados'!$P$2:$P$1000000, 0)))</f>
        <v>#N/A</v>
      </c>
    </row>
    <row r="51" spans="6:31" ht="20.100000000000001" customHeight="1" x14ac:dyDescent="0.25">
      <c r="F51" s="14"/>
      <c r="G51" s="14"/>
      <c r="L51" s="14"/>
      <c r="M51" s="15"/>
      <c r="N51" s="14"/>
      <c r="O51" s="14"/>
      <c r="Y51" s="44" t="e">
        <f>INT(INDEX('Dados Consolidados'!$R$2:$R$1000000, MATCH(A51, 'Dados Consolidados'!$A$2:$A$1000000, 0)))</f>
        <v>#N/A</v>
      </c>
      <c r="Z51" s="44" t="e">
        <f>INT(INDEX('Dados Consolidados'!$S$2:$S$1000000, MATCH(B51, 'Dados Consolidados'!$B$2:$B$1000000, 0)))</f>
        <v>#N/A</v>
      </c>
      <c r="AA51" s="44" t="e">
        <f>INT(INDEX('Dados Consolidados'!$T$2:$T$1000000, MATCH(E51, 'Dados Consolidados'!$E$2:$E$1000000, 0)))</f>
        <v>#N/A</v>
      </c>
      <c r="AB51" s="44" t="e">
        <f>INT(INDEX('Dados Consolidados'!$U$2:$U$1000000, MATCH(H51, 'Dados Consolidados'!$H$2:$H$1000000, 0)))</f>
        <v>#N/A</v>
      </c>
      <c r="AC51" s="44" t="e">
        <f>INT(INDEX('Dados Consolidados'!$V$2:$V$1000000, MATCH(J51, 'Dados Consolidados'!$J$2:$J$1000000, 0)))</f>
        <v>#N/A</v>
      </c>
      <c r="AD51" s="44" t="e">
        <f>INT(INDEX('Dados Consolidados'!$X$2:$X$1000000, MATCH(K51, 'Dados Consolidados'!$K$2:$K$1000000, 0)))</f>
        <v>#N/A</v>
      </c>
      <c r="AE51" s="44" t="e">
        <f>INT(INDEX('Dados Consolidados'!$W$2:$W$1000000, MATCH(P51, 'Dados Consolidados'!$P$2:$P$1000000, 0)))</f>
        <v>#N/A</v>
      </c>
    </row>
    <row r="52" spans="6:31" ht="20.100000000000001" customHeight="1" x14ac:dyDescent="0.25">
      <c r="F52" s="14"/>
      <c r="G52" s="14"/>
      <c r="L52" s="14"/>
      <c r="M52" s="15"/>
      <c r="N52" s="14"/>
      <c r="O52" s="14"/>
      <c r="Y52" s="44" t="e">
        <f>INT(INDEX('Dados Consolidados'!$R$2:$R$1000000, MATCH(A52, 'Dados Consolidados'!$A$2:$A$1000000, 0)))</f>
        <v>#N/A</v>
      </c>
      <c r="Z52" s="44" t="e">
        <f>INT(INDEX('Dados Consolidados'!$S$2:$S$1000000, MATCH(B52, 'Dados Consolidados'!$B$2:$B$1000000, 0)))</f>
        <v>#N/A</v>
      </c>
      <c r="AA52" s="44" t="e">
        <f>INT(INDEX('Dados Consolidados'!$T$2:$T$1000000, MATCH(E52, 'Dados Consolidados'!$E$2:$E$1000000, 0)))</f>
        <v>#N/A</v>
      </c>
      <c r="AB52" s="44" t="e">
        <f>INT(INDEX('Dados Consolidados'!$U$2:$U$1000000, MATCH(H52, 'Dados Consolidados'!$H$2:$H$1000000, 0)))</f>
        <v>#N/A</v>
      </c>
      <c r="AC52" s="44" t="e">
        <f>INT(INDEX('Dados Consolidados'!$V$2:$V$1000000, MATCH(J52, 'Dados Consolidados'!$J$2:$J$1000000, 0)))</f>
        <v>#N/A</v>
      </c>
      <c r="AD52" s="44" t="e">
        <f>INT(INDEX('Dados Consolidados'!$X$2:$X$1000000, MATCH(K52, 'Dados Consolidados'!$K$2:$K$1000000, 0)))</f>
        <v>#N/A</v>
      </c>
      <c r="AE52" s="44" t="e">
        <f>INT(INDEX('Dados Consolidados'!$W$2:$W$1000000, MATCH(P52, 'Dados Consolidados'!$P$2:$P$1000000, 0)))</f>
        <v>#N/A</v>
      </c>
    </row>
    <row r="53" spans="6:31" ht="20.100000000000001" customHeight="1" x14ac:dyDescent="0.25">
      <c r="F53" s="14"/>
      <c r="G53" s="14"/>
      <c r="L53" s="14"/>
      <c r="M53" s="15"/>
      <c r="N53" s="14"/>
      <c r="O53" s="14"/>
      <c r="Y53" s="44" t="e">
        <f>INT(INDEX('Dados Consolidados'!$R$2:$R$1000000, MATCH(A53, 'Dados Consolidados'!$A$2:$A$1000000, 0)))</f>
        <v>#N/A</v>
      </c>
      <c r="Z53" s="44" t="e">
        <f>INT(INDEX('Dados Consolidados'!$S$2:$S$1000000, MATCH(B53, 'Dados Consolidados'!$B$2:$B$1000000, 0)))</f>
        <v>#N/A</v>
      </c>
      <c r="AA53" s="44" t="e">
        <f>INT(INDEX('Dados Consolidados'!$T$2:$T$1000000, MATCH(E53, 'Dados Consolidados'!$E$2:$E$1000000, 0)))</f>
        <v>#N/A</v>
      </c>
      <c r="AB53" s="44" t="e">
        <f>INT(INDEX('Dados Consolidados'!$U$2:$U$1000000, MATCH(H53, 'Dados Consolidados'!$H$2:$H$1000000, 0)))</f>
        <v>#N/A</v>
      </c>
      <c r="AC53" s="44" t="e">
        <f>INT(INDEX('Dados Consolidados'!$V$2:$V$1000000, MATCH(J53, 'Dados Consolidados'!$J$2:$J$1000000, 0)))</f>
        <v>#N/A</v>
      </c>
      <c r="AD53" s="44" t="e">
        <f>INT(INDEX('Dados Consolidados'!$X$2:$X$1000000, MATCH(K53, 'Dados Consolidados'!$K$2:$K$1000000, 0)))</f>
        <v>#N/A</v>
      </c>
      <c r="AE53" s="44" t="e">
        <f>INT(INDEX('Dados Consolidados'!$W$2:$W$1000000, MATCH(P53, 'Dados Consolidados'!$P$2:$P$1000000, 0)))</f>
        <v>#N/A</v>
      </c>
    </row>
    <row r="54" spans="6:31" ht="20.100000000000001" customHeight="1" x14ac:dyDescent="0.25">
      <c r="F54" s="14"/>
      <c r="G54" s="14"/>
      <c r="L54" s="14"/>
      <c r="M54" s="15"/>
      <c r="N54" s="14"/>
      <c r="O54" s="14"/>
      <c r="Y54" s="44" t="e">
        <f>INT(INDEX('Dados Consolidados'!$R$2:$R$1000000, MATCH(A54, 'Dados Consolidados'!$A$2:$A$1000000, 0)))</f>
        <v>#N/A</v>
      </c>
      <c r="Z54" s="44" t="e">
        <f>INT(INDEX('Dados Consolidados'!$S$2:$S$1000000, MATCH(B54, 'Dados Consolidados'!$B$2:$B$1000000, 0)))</f>
        <v>#N/A</v>
      </c>
      <c r="AA54" s="44" t="e">
        <f>INT(INDEX('Dados Consolidados'!$T$2:$T$1000000, MATCH(E54, 'Dados Consolidados'!$E$2:$E$1000000, 0)))</f>
        <v>#N/A</v>
      </c>
      <c r="AB54" s="44" t="e">
        <f>INT(INDEX('Dados Consolidados'!$U$2:$U$1000000, MATCH(H54, 'Dados Consolidados'!$H$2:$H$1000000, 0)))</f>
        <v>#N/A</v>
      </c>
      <c r="AC54" s="44" t="e">
        <f>INT(INDEX('Dados Consolidados'!$V$2:$V$1000000, MATCH(J54, 'Dados Consolidados'!$J$2:$J$1000000, 0)))</f>
        <v>#N/A</v>
      </c>
      <c r="AD54" s="44" t="e">
        <f>INT(INDEX('Dados Consolidados'!$X$2:$X$1000000, MATCH(K54, 'Dados Consolidados'!$K$2:$K$1000000, 0)))</f>
        <v>#N/A</v>
      </c>
      <c r="AE54" s="44" t="e">
        <f>INT(INDEX('Dados Consolidados'!$W$2:$W$1000000, MATCH(P54, 'Dados Consolidados'!$P$2:$P$1000000, 0)))</f>
        <v>#N/A</v>
      </c>
    </row>
    <row r="55" spans="6:31" ht="20.100000000000001" customHeight="1" x14ac:dyDescent="0.25">
      <c r="F55" s="14"/>
      <c r="G55" s="14"/>
      <c r="L55" s="14"/>
      <c r="M55" s="15"/>
      <c r="N55" s="14"/>
      <c r="O55" s="14"/>
      <c r="Y55" s="44" t="e">
        <f>INT(INDEX('Dados Consolidados'!$R$2:$R$1000000, MATCH(A55, 'Dados Consolidados'!$A$2:$A$1000000, 0)))</f>
        <v>#N/A</v>
      </c>
      <c r="Z55" s="44" t="e">
        <f>INT(INDEX('Dados Consolidados'!$S$2:$S$1000000, MATCH(B55, 'Dados Consolidados'!$B$2:$B$1000000, 0)))</f>
        <v>#N/A</v>
      </c>
      <c r="AA55" s="44" t="e">
        <f>INT(INDEX('Dados Consolidados'!$T$2:$T$1000000, MATCH(E55, 'Dados Consolidados'!$E$2:$E$1000000, 0)))</f>
        <v>#N/A</v>
      </c>
      <c r="AB55" s="44" t="e">
        <f>INT(INDEX('Dados Consolidados'!$U$2:$U$1000000, MATCH(H55, 'Dados Consolidados'!$H$2:$H$1000000, 0)))</f>
        <v>#N/A</v>
      </c>
      <c r="AC55" s="44" t="e">
        <f>INT(INDEX('Dados Consolidados'!$V$2:$V$1000000, MATCH(J55, 'Dados Consolidados'!$J$2:$J$1000000, 0)))</f>
        <v>#N/A</v>
      </c>
      <c r="AD55" s="44" t="e">
        <f>INT(INDEX('Dados Consolidados'!$X$2:$X$1000000, MATCH(K55, 'Dados Consolidados'!$K$2:$K$1000000, 0)))</f>
        <v>#N/A</v>
      </c>
      <c r="AE55" s="44" t="e">
        <f>INT(INDEX('Dados Consolidados'!$W$2:$W$1000000, MATCH(P55, 'Dados Consolidados'!$P$2:$P$1000000, 0)))</f>
        <v>#N/A</v>
      </c>
    </row>
    <row r="56" spans="6:31" ht="20.100000000000001" customHeight="1" x14ac:dyDescent="0.25">
      <c r="F56" s="14"/>
      <c r="G56" s="14"/>
      <c r="L56" s="14"/>
      <c r="M56" s="15"/>
      <c r="N56" s="14"/>
      <c r="O56" s="14"/>
      <c r="Y56" s="44" t="e">
        <f>INT(INDEX('Dados Consolidados'!$R$2:$R$1000000, MATCH(A56, 'Dados Consolidados'!$A$2:$A$1000000, 0)))</f>
        <v>#N/A</v>
      </c>
      <c r="Z56" s="44" t="e">
        <f>INT(INDEX('Dados Consolidados'!$S$2:$S$1000000, MATCH(B56, 'Dados Consolidados'!$B$2:$B$1000000, 0)))</f>
        <v>#N/A</v>
      </c>
      <c r="AA56" s="44" t="e">
        <f>INT(INDEX('Dados Consolidados'!$T$2:$T$1000000, MATCH(E56, 'Dados Consolidados'!$E$2:$E$1000000, 0)))</f>
        <v>#N/A</v>
      </c>
      <c r="AB56" s="44" t="e">
        <f>INT(INDEX('Dados Consolidados'!$U$2:$U$1000000, MATCH(H56, 'Dados Consolidados'!$H$2:$H$1000000, 0)))</f>
        <v>#N/A</v>
      </c>
      <c r="AC56" s="44" t="e">
        <f>INT(INDEX('Dados Consolidados'!$V$2:$V$1000000, MATCH(J56, 'Dados Consolidados'!$J$2:$J$1000000, 0)))</f>
        <v>#N/A</v>
      </c>
      <c r="AD56" s="44" t="e">
        <f>INT(INDEX('Dados Consolidados'!$X$2:$X$1000000, MATCH(K56, 'Dados Consolidados'!$K$2:$K$1000000, 0)))</f>
        <v>#N/A</v>
      </c>
      <c r="AE56" s="44" t="e">
        <f>INT(INDEX('Dados Consolidados'!$W$2:$W$1000000, MATCH(P56, 'Dados Consolidados'!$P$2:$P$1000000, 0)))</f>
        <v>#N/A</v>
      </c>
    </row>
    <row r="57" spans="6:31" ht="20.100000000000001" customHeight="1" x14ac:dyDescent="0.25">
      <c r="F57" s="14"/>
      <c r="G57" s="14"/>
      <c r="L57" s="14"/>
      <c r="M57" s="15"/>
      <c r="N57" s="14"/>
      <c r="O57" s="14"/>
      <c r="Y57" s="44" t="e">
        <f>INT(INDEX('Dados Consolidados'!$R$2:$R$1000000, MATCH(A57, 'Dados Consolidados'!$A$2:$A$1000000, 0)))</f>
        <v>#N/A</v>
      </c>
      <c r="Z57" s="44" t="e">
        <f>INT(INDEX('Dados Consolidados'!$S$2:$S$1000000, MATCH(B57, 'Dados Consolidados'!$B$2:$B$1000000, 0)))</f>
        <v>#N/A</v>
      </c>
      <c r="AA57" s="44" t="e">
        <f>INT(INDEX('Dados Consolidados'!$T$2:$T$1000000, MATCH(E57, 'Dados Consolidados'!$E$2:$E$1000000, 0)))</f>
        <v>#N/A</v>
      </c>
      <c r="AB57" s="44" t="e">
        <f>INT(INDEX('Dados Consolidados'!$U$2:$U$1000000, MATCH(H57, 'Dados Consolidados'!$H$2:$H$1000000, 0)))</f>
        <v>#N/A</v>
      </c>
      <c r="AC57" s="44" t="e">
        <f>INT(INDEX('Dados Consolidados'!$V$2:$V$1000000, MATCH(J57, 'Dados Consolidados'!$J$2:$J$1000000, 0)))</f>
        <v>#N/A</v>
      </c>
      <c r="AD57" s="44" t="e">
        <f>INT(INDEX('Dados Consolidados'!$X$2:$X$1000000, MATCH(K57, 'Dados Consolidados'!$K$2:$K$1000000, 0)))</f>
        <v>#N/A</v>
      </c>
      <c r="AE57" s="44" t="e">
        <f>INT(INDEX('Dados Consolidados'!$W$2:$W$1000000, MATCH(P57, 'Dados Consolidados'!$P$2:$P$1000000, 0)))</f>
        <v>#N/A</v>
      </c>
    </row>
    <row r="58" spans="6:31" ht="20.100000000000001" customHeight="1" x14ac:dyDescent="0.25">
      <c r="F58" s="14"/>
      <c r="G58" s="14"/>
      <c r="L58" s="14"/>
      <c r="M58" s="15"/>
      <c r="N58" s="16"/>
      <c r="O58" s="16"/>
      <c r="Y58" s="44" t="e">
        <f>INT(INDEX('Dados Consolidados'!$R$2:$R$1000000, MATCH(A58, 'Dados Consolidados'!$A$2:$A$1000000, 0)))</f>
        <v>#N/A</v>
      </c>
      <c r="Z58" s="44" t="e">
        <f>INT(INDEX('Dados Consolidados'!$S$2:$S$1000000, MATCH(B58, 'Dados Consolidados'!$B$2:$B$1000000, 0)))</f>
        <v>#N/A</v>
      </c>
      <c r="AA58" s="44" t="e">
        <f>INT(INDEX('Dados Consolidados'!$T$2:$T$1000000, MATCH(E58, 'Dados Consolidados'!$E$2:$E$1000000, 0)))</f>
        <v>#N/A</v>
      </c>
      <c r="AB58" s="44" t="e">
        <f>INT(INDEX('Dados Consolidados'!$U$2:$U$1000000, MATCH(H58, 'Dados Consolidados'!$H$2:$H$1000000, 0)))</f>
        <v>#N/A</v>
      </c>
      <c r="AC58" s="44" t="e">
        <f>INT(INDEX('Dados Consolidados'!$V$2:$V$1000000, MATCH(J58, 'Dados Consolidados'!$J$2:$J$1000000, 0)))</f>
        <v>#N/A</v>
      </c>
      <c r="AD58" s="44" t="e">
        <f>INT(INDEX('Dados Consolidados'!$X$2:$X$1000000, MATCH(K58, 'Dados Consolidados'!$K$2:$K$1000000, 0)))</f>
        <v>#N/A</v>
      </c>
      <c r="AE58" s="44" t="e">
        <f>INT(INDEX('Dados Consolidados'!$W$2:$W$1000000, MATCH(P58, 'Dados Consolidados'!$P$2:$P$1000000, 0)))</f>
        <v>#N/A</v>
      </c>
    </row>
    <row r="59" spans="6:31" ht="20.100000000000001" customHeight="1" x14ac:dyDescent="0.25">
      <c r="F59" s="14"/>
      <c r="G59" s="14"/>
      <c r="L59" s="14"/>
      <c r="M59" s="15"/>
      <c r="N59" s="16"/>
      <c r="O59" s="16"/>
      <c r="Y59" s="44" t="e">
        <f>INT(INDEX('Dados Consolidados'!$R$2:$R$1000000, MATCH(A59, 'Dados Consolidados'!$A$2:$A$1000000, 0)))</f>
        <v>#N/A</v>
      </c>
      <c r="Z59" s="44" t="e">
        <f>INT(INDEX('Dados Consolidados'!$S$2:$S$1000000, MATCH(B59, 'Dados Consolidados'!$B$2:$B$1000000, 0)))</f>
        <v>#N/A</v>
      </c>
      <c r="AA59" s="44" t="e">
        <f>INT(INDEX('Dados Consolidados'!$T$2:$T$1000000, MATCH(E59, 'Dados Consolidados'!$E$2:$E$1000000, 0)))</f>
        <v>#N/A</v>
      </c>
      <c r="AB59" s="44" t="e">
        <f>INT(INDEX('Dados Consolidados'!$U$2:$U$1000000, MATCH(H59, 'Dados Consolidados'!$H$2:$H$1000000, 0)))</f>
        <v>#N/A</v>
      </c>
      <c r="AC59" s="44" t="e">
        <f>INT(INDEX('Dados Consolidados'!$V$2:$V$1000000, MATCH(J59, 'Dados Consolidados'!$J$2:$J$1000000, 0)))</f>
        <v>#N/A</v>
      </c>
      <c r="AD59" s="44" t="e">
        <f>INT(INDEX('Dados Consolidados'!$X$2:$X$1000000, MATCH(K59, 'Dados Consolidados'!$K$2:$K$1000000, 0)))</f>
        <v>#N/A</v>
      </c>
      <c r="AE59" s="44" t="e">
        <f>INT(INDEX('Dados Consolidados'!$W$2:$W$1000000, MATCH(P59, 'Dados Consolidados'!$P$2:$P$1000000, 0)))</f>
        <v>#N/A</v>
      </c>
    </row>
    <row r="60" spans="6:31" ht="20.100000000000001" customHeight="1" x14ac:dyDescent="0.25">
      <c r="F60" s="14"/>
      <c r="G60" s="14"/>
      <c r="L60" s="14"/>
      <c r="M60" s="15"/>
      <c r="N60" s="16"/>
      <c r="O60" s="16"/>
      <c r="Y60" s="44" t="e">
        <f>INT(INDEX('Dados Consolidados'!$R$2:$R$1000000, MATCH(A60, 'Dados Consolidados'!$A$2:$A$1000000, 0)))</f>
        <v>#N/A</v>
      </c>
      <c r="Z60" s="44" t="e">
        <f>INT(INDEX('Dados Consolidados'!$S$2:$S$1000000, MATCH(B60, 'Dados Consolidados'!$B$2:$B$1000000, 0)))</f>
        <v>#N/A</v>
      </c>
      <c r="AA60" s="44" t="e">
        <f>INT(INDEX('Dados Consolidados'!$T$2:$T$1000000, MATCH(E60, 'Dados Consolidados'!$E$2:$E$1000000, 0)))</f>
        <v>#N/A</v>
      </c>
      <c r="AB60" s="44" t="e">
        <f>INT(INDEX('Dados Consolidados'!$U$2:$U$1000000, MATCH(H60, 'Dados Consolidados'!$H$2:$H$1000000, 0)))</f>
        <v>#N/A</v>
      </c>
      <c r="AC60" s="44" t="e">
        <f>INT(INDEX('Dados Consolidados'!$V$2:$V$1000000, MATCH(J60, 'Dados Consolidados'!$J$2:$J$1000000, 0)))</f>
        <v>#N/A</v>
      </c>
      <c r="AD60" s="44" t="e">
        <f>INT(INDEX('Dados Consolidados'!$X$2:$X$1000000, MATCH(K60, 'Dados Consolidados'!$K$2:$K$1000000, 0)))</f>
        <v>#N/A</v>
      </c>
      <c r="AE60" s="44" t="e">
        <f>INT(INDEX('Dados Consolidados'!$W$2:$W$1000000, MATCH(P60, 'Dados Consolidados'!$P$2:$P$1000000, 0)))</f>
        <v>#N/A</v>
      </c>
    </row>
    <row r="61" spans="6:31" ht="20.100000000000001" customHeight="1" x14ac:dyDescent="0.25">
      <c r="F61" s="14"/>
      <c r="G61" s="14"/>
      <c r="L61" s="14"/>
      <c r="M61" s="15"/>
      <c r="N61" s="16"/>
      <c r="O61" s="16"/>
      <c r="Y61" s="44" t="e">
        <f>INT(INDEX('Dados Consolidados'!$R$2:$R$1000000, MATCH(A61, 'Dados Consolidados'!$A$2:$A$1000000, 0)))</f>
        <v>#N/A</v>
      </c>
      <c r="Z61" s="44" t="e">
        <f>INT(INDEX('Dados Consolidados'!$S$2:$S$1000000, MATCH(B61, 'Dados Consolidados'!$B$2:$B$1000000, 0)))</f>
        <v>#N/A</v>
      </c>
      <c r="AA61" s="44" t="e">
        <f>INT(INDEX('Dados Consolidados'!$T$2:$T$1000000, MATCH(E61, 'Dados Consolidados'!$E$2:$E$1000000, 0)))</f>
        <v>#N/A</v>
      </c>
      <c r="AB61" s="44" t="e">
        <f>INT(INDEX('Dados Consolidados'!$U$2:$U$1000000, MATCH(H61, 'Dados Consolidados'!$H$2:$H$1000000, 0)))</f>
        <v>#N/A</v>
      </c>
      <c r="AC61" s="44" t="e">
        <f>INT(INDEX('Dados Consolidados'!$V$2:$V$1000000, MATCH(J61, 'Dados Consolidados'!$J$2:$J$1000000, 0)))</f>
        <v>#N/A</v>
      </c>
      <c r="AD61" s="44" t="e">
        <f>INT(INDEX('Dados Consolidados'!$X$2:$X$1000000, MATCH(K61, 'Dados Consolidados'!$K$2:$K$1000000, 0)))</f>
        <v>#N/A</v>
      </c>
      <c r="AE61" s="44" t="e">
        <f>INT(INDEX('Dados Consolidados'!$W$2:$W$1000000, MATCH(P61, 'Dados Consolidados'!$P$2:$P$1000000, 0)))</f>
        <v>#N/A</v>
      </c>
    </row>
    <row r="62" spans="6:31" ht="20.100000000000001" customHeight="1" x14ac:dyDescent="0.25">
      <c r="F62" s="14"/>
      <c r="G62" s="14"/>
      <c r="L62" s="14"/>
      <c r="M62" s="15"/>
      <c r="N62" s="16"/>
      <c r="O62" s="16"/>
      <c r="Y62" s="44" t="e">
        <f>INT(INDEX('Dados Consolidados'!$R$2:$R$1000000, MATCH(A62, 'Dados Consolidados'!$A$2:$A$1000000, 0)))</f>
        <v>#N/A</v>
      </c>
      <c r="Z62" s="44" t="e">
        <f>INT(INDEX('Dados Consolidados'!$S$2:$S$1000000, MATCH(B62, 'Dados Consolidados'!$B$2:$B$1000000, 0)))</f>
        <v>#N/A</v>
      </c>
      <c r="AA62" s="44" t="e">
        <f>INT(INDEX('Dados Consolidados'!$T$2:$T$1000000, MATCH(E62, 'Dados Consolidados'!$E$2:$E$1000000, 0)))</f>
        <v>#N/A</v>
      </c>
      <c r="AB62" s="44" t="e">
        <f>INT(INDEX('Dados Consolidados'!$U$2:$U$1000000, MATCH(H62, 'Dados Consolidados'!$H$2:$H$1000000, 0)))</f>
        <v>#N/A</v>
      </c>
      <c r="AC62" s="44" t="e">
        <f>INT(INDEX('Dados Consolidados'!$V$2:$V$1000000, MATCH(J62, 'Dados Consolidados'!$J$2:$J$1000000, 0)))</f>
        <v>#N/A</v>
      </c>
      <c r="AD62" s="44" t="e">
        <f>INT(INDEX('Dados Consolidados'!$X$2:$X$1000000, MATCH(K62, 'Dados Consolidados'!$K$2:$K$1000000, 0)))</f>
        <v>#N/A</v>
      </c>
      <c r="AE62" s="44" t="e">
        <f>INT(INDEX('Dados Consolidados'!$W$2:$W$1000000, MATCH(P62, 'Dados Consolidados'!$P$2:$P$1000000, 0)))</f>
        <v>#N/A</v>
      </c>
    </row>
    <row r="63" spans="6:31" ht="20.100000000000001" customHeight="1" x14ac:dyDescent="0.25">
      <c r="F63" s="14"/>
      <c r="G63" s="14"/>
      <c r="L63" s="14"/>
      <c r="M63" s="15"/>
      <c r="N63" s="16"/>
      <c r="O63" s="16"/>
      <c r="Y63" s="44" t="e">
        <f>INT(INDEX('Dados Consolidados'!$R$2:$R$1000000, MATCH(A63, 'Dados Consolidados'!$A$2:$A$1000000, 0)))</f>
        <v>#N/A</v>
      </c>
      <c r="Z63" s="44" t="e">
        <f>INT(INDEX('Dados Consolidados'!$S$2:$S$1000000, MATCH(B63, 'Dados Consolidados'!$B$2:$B$1000000, 0)))</f>
        <v>#N/A</v>
      </c>
      <c r="AA63" s="44" t="e">
        <f>INT(INDEX('Dados Consolidados'!$T$2:$T$1000000, MATCH(E63, 'Dados Consolidados'!$E$2:$E$1000000, 0)))</f>
        <v>#N/A</v>
      </c>
      <c r="AB63" s="44" t="e">
        <f>INT(INDEX('Dados Consolidados'!$U$2:$U$1000000, MATCH(H63, 'Dados Consolidados'!$H$2:$H$1000000, 0)))</f>
        <v>#N/A</v>
      </c>
      <c r="AC63" s="44" t="e">
        <f>INT(INDEX('Dados Consolidados'!$V$2:$V$1000000, MATCH(J63, 'Dados Consolidados'!$J$2:$J$1000000, 0)))</f>
        <v>#N/A</v>
      </c>
      <c r="AD63" s="44" t="e">
        <f>INT(INDEX('Dados Consolidados'!$X$2:$X$1000000, MATCH(K63, 'Dados Consolidados'!$K$2:$K$1000000, 0)))</f>
        <v>#N/A</v>
      </c>
      <c r="AE63" s="44" t="e">
        <f>INT(INDEX('Dados Consolidados'!$W$2:$W$1000000, MATCH(P63, 'Dados Consolidados'!$P$2:$P$1000000, 0)))</f>
        <v>#N/A</v>
      </c>
    </row>
    <row r="64" spans="6:31" ht="20.100000000000001" customHeight="1" x14ac:dyDescent="0.25">
      <c r="F64" s="14"/>
      <c r="G64" s="14"/>
      <c r="L64" s="14"/>
      <c r="M64" s="15"/>
      <c r="N64" s="16"/>
      <c r="O64" s="16"/>
      <c r="Y64" s="44" t="e">
        <f>INT(INDEX('Dados Consolidados'!$R$2:$R$1000000, MATCH(A64, 'Dados Consolidados'!$A$2:$A$1000000, 0)))</f>
        <v>#N/A</v>
      </c>
      <c r="Z64" s="44" t="e">
        <f>INT(INDEX('Dados Consolidados'!$S$2:$S$1000000, MATCH(B64, 'Dados Consolidados'!$B$2:$B$1000000, 0)))</f>
        <v>#N/A</v>
      </c>
      <c r="AA64" s="44" t="e">
        <f>INT(INDEX('Dados Consolidados'!$T$2:$T$1000000, MATCH(E64, 'Dados Consolidados'!$E$2:$E$1000000, 0)))</f>
        <v>#N/A</v>
      </c>
      <c r="AB64" s="44" t="e">
        <f>INT(INDEX('Dados Consolidados'!$U$2:$U$1000000, MATCH(H64, 'Dados Consolidados'!$H$2:$H$1000000, 0)))</f>
        <v>#N/A</v>
      </c>
      <c r="AC64" s="44" t="e">
        <f>INT(INDEX('Dados Consolidados'!$V$2:$V$1000000, MATCH(J64, 'Dados Consolidados'!$J$2:$J$1000000, 0)))</f>
        <v>#N/A</v>
      </c>
      <c r="AD64" s="44" t="e">
        <f>INT(INDEX('Dados Consolidados'!$X$2:$X$1000000, MATCH(K64, 'Dados Consolidados'!$K$2:$K$1000000, 0)))</f>
        <v>#N/A</v>
      </c>
      <c r="AE64" s="44" t="e">
        <f>INT(INDEX('Dados Consolidados'!$W$2:$W$1000000, MATCH(P64, 'Dados Consolidados'!$P$2:$P$1000000, 0)))</f>
        <v>#N/A</v>
      </c>
    </row>
    <row r="65" spans="6:31" ht="20.100000000000001" customHeight="1" x14ac:dyDescent="0.25">
      <c r="F65" s="14"/>
      <c r="G65" s="14"/>
      <c r="L65" s="14"/>
      <c r="M65" s="15"/>
      <c r="N65" s="16"/>
      <c r="O65" s="16"/>
      <c r="Y65" s="44" t="e">
        <f>INT(INDEX('Dados Consolidados'!$R$2:$R$1000000, MATCH(A65, 'Dados Consolidados'!$A$2:$A$1000000, 0)))</f>
        <v>#N/A</v>
      </c>
      <c r="Z65" s="44" t="e">
        <f>INT(INDEX('Dados Consolidados'!$S$2:$S$1000000, MATCH(B65, 'Dados Consolidados'!$B$2:$B$1000000, 0)))</f>
        <v>#N/A</v>
      </c>
      <c r="AA65" s="44" t="e">
        <f>INT(INDEX('Dados Consolidados'!$T$2:$T$1000000, MATCH(E65, 'Dados Consolidados'!$E$2:$E$1000000, 0)))</f>
        <v>#N/A</v>
      </c>
      <c r="AB65" s="44" t="e">
        <f>INT(INDEX('Dados Consolidados'!$U$2:$U$1000000, MATCH(H65, 'Dados Consolidados'!$H$2:$H$1000000, 0)))</f>
        <v>#N/A</v>
      </c>
      <c r="AC65" s="44" t="e">
        <f>INT(INDEX('Dados Consolidados'!$V$2:$V$1000000, MATCH(J65, 'Dados Consolidados'!$J$2:$J$1000000, 0)))</f>
        <v>#N/A</v>
      </c>
      <c r="AD65" s="44" t="e">
        <f>INT(INDEX('Dados Consolidados'!$X$2:$X$1000000, MATCH(K65, 'Dados Consolidados'!$K$2:$K$1000000, 0)))</f>
        <v>#N/A</v>
      </c>
      <c r="AE65" s="44" t="e">
        <f>INT(INDEX('Dados Consolidados'!$W$2:$W$1000000, MATCH(P65, 'Dados Consolidados'!$P$2:$P$1000000, 0)))</f>
        <v>#N/A</v>
      </c>
    </row>
    <row r="66" spans="6:31" ht="20.100000000000001" customHeight="1" x14ac:dyDescent="0.25">
      <c r="F66" s="14"/>
      <c r="G66" s="14"/>
      <c r="L66" s="14"/>
      <c r="M66" s="15"/>
      <c r="N66" s="16"/>
      <c r="O66" s="16"/>
      <c r="Y66" s="44" t="e">
        <f>INT(INDEX('Dados Consolidados'!$R$2:$R$1000000, MATCH(A66, 'Dados Consolidados'!$A$2:$A$1000000, 0)))</f>
        <v>#N/A</v>
      </c>
      <c r="Z66" s="44" t="e">
        <f>INT(INDEX('Dados Consolidados'!$S$2:$S$1000000, MATCH(B66, 'Dados Consolidados'!$B$2:$B$1000000, 0)))</f>
        <v>#N/A</v>
      </c>
      <c r="AA66" s="44" t="e">
        <f>INT(INDEX('Dados Consolidados'!$T$2:$T$1000000, MATCH(E66, 'Dados Consolidados'!$E$2:$E$1000000, 0)))</f>
        <v>#N/A</v>
      </c>
      <c r="AB66" s="44" t="e">
        <f>INT(INDEX('Dados Consolidados'!$U$2:$U$1000000, MATCH(H66, 'Dados Consolidados'!$H$2:$H$1000000, 0)))</f>
        <v>#N/A</v>
      </c>
      <c r="AC66" s="44" t="e">
        <f>INT(INDEX('Dados Consolidados'!$V$2:$V$1000000, MATCH(J66, 'Dados Consolidados'!$J$2:$J$1000000, 0)))</f>
        <v>#N/A</v>
      </c>
      <c r="AD66" s="44" t="e">
        <f>INT(INDEX('Dados Consolidados'!$X$2:$X$1000000, MATCH(K66, 'Dados Consolidados'!$K$2:$K$1000000, 0)))</f>
        <v>#N/A</v>
      </c>
      <c r="AE66" s="44" t="e">
        <f>INT(INDEX('Dados Consolidados'!$W$2:$W$1000000, MATCH(P66, 'Dados Consolidados'!$P$2:$P$1000000, 0)))</f>
        <v>#N/A</v>
      </c>
    </row>
    <row r="67" spans="6:31" ht="20.100000000000001" customHeight="1" x14ac:dyDescent="0.25">
      <c r="F67" s="14"/>
      <c r="G67" s="14"/>
      <c r="L67" s="14"/>
      <c r="M67" s="15"/>
      <c r="N67" s="16"/>
      <c r="O67" s="16"/>
      <c r="Y67" s="44" t="e">
        <f>INT(INDEX('Dados Consolidados'!$R$2:$R$1000000, MATCH(A67, 'Dados Consolidados'!$A$2:$A$1000000, 0)))</f>
        <v>#N/A</v>
      </c>
      <c r="Z67" s="44" t="e">
        <f>INT(INDEX('Dados Consolidados'!$S$2:$S$1000000, MATCH(B67, 'Dados Consolidados'!$B$2:$B$1000000, 0)))</f>
        <v>#N/A</v>
      </c>
      <c r="AA67" s="44" t="e">
        <f>INT(INDEX('Dados Consolidados'!$T$2:$T$1000000, MATCH(E67, 'Dados Consolidados'!$E$2:$E$1000000, 0)))</f>
        <v>#N/A</v>
      </c>
      <c r="AB67" s="44" t="e">
        <f>INT(INDEX('Dados Consolidados'!$U$2:$U$1000000, MATCH(H67, 'Dados Consolidados'!$H$2:$H$1000000, 0)))</f>
        <v>#N/A</v>
      </c>
      <c r="AC67" s="44" t="e">
        <f>INT(INDEX('Dados Consolidados'!$V$2:$V$1000000, MATCH(J67, 'Dados Consolidados'!$J$2:$J$1000000, 0)))</f>
        <v>#N/A</v>
      </c>
      <c r="AD67" s="44" t="e">
        <f>INT(INDEX('Dados Consolidados'!$X$2:$X$1000000, MATCH(K67, 'Dados Consolidados'!$K$2:$K$1000000, 0)))</f>
        <v>#N/A</v>
      </c>
      <c r="AE67" s="44" t="e">
        <f>INT(INDEX('Dados Consolidados'!$W$2:$W$1000000, MATCH(P67, 'Dados Consolidados'!$P$2:$P$1000000, 0)))</f>
        <v>#N/A</v>
      </c>
    </row>
    <row r="68" spans="6:31" ht="20.100000000000001" customHeight="1" x14ac:dyDescent="0.25">
      <c r="F68" s="14"/>
      <c r="G68" s="14"/>
      <c r="L68" s="14"/>
      <c r="M68" s="15"/>
      <c r="N68" s="16"/>
      <c r="O68" s="16"/>
      <c r="Y68" s="44" t="e">
        <f>INT(INDEX('Dados Consolidados'!$R$2:$R$1000000, MATCH(A68, 'Dados Consolidados'!$A$2:$A$1000000, 0)))</f>
        <v>#N/A</v>
      </c>
      <c r="Z68" s="44" t="e">
        <f>INT(INDEX('Dados Consolidados'!$S$2:$S$1000000, MATCH(B68, 'Dados Consolidados'!$B$2:$B$1000000, 0)))</f>
        <v>#N/A</v>
      </c>
      <c r="AA68" s="44" t="e">
        <f>INT(INDEX('Dados Consolidados'!$T$2:$T$1000000, MATCH(E68, 'Dados Consolidados'!$E$2:$E$1000000, 0)))</f>
        <v>#N/A</v>
      </c>
      <c r="AB68" s="44" t="e">
        <f>INT(INDEX('Dados Consolidados'!$U$2:$U$1000000, MATCH(H68, 'Dados Consolidados'!$H$2:$H$1000000, 0)))</f>
        <v>#N/A</v>
      </c>
      <c r="AC68" s="44" t="e">
        <f>INT(INDEX('Dados Consolidados'!$V$2:$V$1000000, MATCH(J68, 'Dados Consolidados'!$J$2:$J$1000000, 0)))</f>
        <v>#N/A</v>
      </c>
      <c r="AD68" s="44" t="e">
        <f>INT(INDEX('Dados Consolidados'!$X$2:$X$1000000, MATCH(K68, 'Dados Consolidados'!$K$2:$K$1000000, 0)))</f>
        <v>#N/A</v>
      </c>
      <c r="AE68" s="44" t="e">
        <f>INT(INDEX('Dados Consolidados'!$W$2:$W$1000000, MATCH(P68, 'Dados Consolidados'!$P$2:$P$1000000, 0)))</f>
        <v>#N/A</v>
      </c>
    </row>
    <row r="69" spans="6:31" ht="20.100000000000001" customHeight="1" x14ac:dyDescent="0.25">
      <c r="F69" s="14"/>
      <c r="G69" s="14"/>
      <c r="L69" s="14"/>
      <c r="M69" s="15"/>
      <c r="N69" s="16"/>
      <c r="O69" s="16"/>
      <c r="Y69" s="44" t="e">
        <f>INT(INDEX('Dados Consolidados'!$R$2:$R$1000000, MATCH(A69, 'Dados Consolidados'!$A$2:$A$1000000, 0)))</f>
        <v>#N/A</v>
      </c>
      <c r="Z69" s="44" t="e">
        <f>INT(INDEX('Dados Consolidados'!$S$2:$S$1000000, MATCH(B69, 'Dados Consolidados'!$B$2:$B$1000000, 0)))</f>
        <v>#N/A</v>
      </c>
      <c r="AA69" s="44" t="e">
        <f>INT(INDEX('Dados Consolidados'!$T$2:$T$1000000, MATCH(E69, 'Dados Consolidados'!$E$2:$E$1000000, 0)))</f>
        <v>#N/A</v>
      </c>
      <c r="AB69" s="44" t="e">
        <f>INT(INDEX('Dados Consolidados'!$U$2:$U$1000000, MATCH(H69, 'Dados Consolidados'!$H$2:$H$1000000, 0)))</f>
        <v>#N/A</v>
      </c>
      <c r="AC69" s="44" t="e">
        <f>INT(INDEX('Dados Consolidados'!$V$2:$V$1000000, MATCH(J69, 'Dados Consolidados'!$J$2:$J$1000000, 0)))</f>
        <v>#N/A</v>
      </c>
      <c r="AD69" s="44" t="e">
        <f>INT(INDEX('Dados Consolidados'!$X$2:$X$1000000, MATCH(K69, 'Dados Consolidados'!$K$2:$K$1000000, 0)))</f>
        <v>#N/A</v>
      </c>
      <c r="AE69" s="44" t="e">
        <f>INT(INDEX('Dados Consolidados'!$W$2:$W$1000000, MATCH(P69, 'Dados Consolidados'!$P$2:$P$1000000, 0)))</f>
        <v>#N/A</v>
      </c>
    </row>
    <row r="70" spans="6:31" ht="20.100000000000001" customHeight="1" x14ac:dyDescent="0.25">
      <c r="F70" s="14"/>
      <c r="G70" s="14"/>
      <c r="L70" s="14"/>
      <c r="M70" s="15"/>
      <c r="N70" s="16"/>
      <c r="O70" s="16"/>
      <c r="Y70" s="44" t="e">
        <f>INT(INDEX('Dados Consolidados'!$R$2:$R$1000000, MATCH(A70, 'Dados Consolidados'!$A$2:$A$1000000, 0)))</f>
        <v>#N/A</v>
      </c>
      <c r="Z70" s="44" t="e">
        <f>INT(INDEX('Dados Consolidados'!$S$2:$S$1000000, MATCH(B70, 'Dados Consolidados'!$B$2:$B$1000000, 0)))</f>
        <v>#N/A</v>
      </c>
      <c r="AA70" s="44" t="e">
        <f>INT(INDEX('Dados Consolidados'!$T$2:$T$1000000, MATCH(E70, 'Dados Consolidados'!$E$2:$E$1000000, 0)))</f>
        <v>#N/A</v>
      </c>
      <c r="AB70" s="44" t="e">
        <f>INT(INDEX('Dados Consolidados'!$U$2:$U$1000000, MATCH(H70, 'Dados Consolidados'!$H$2:$H$1000000, 0)))</f>
        <v>#N/A</v>
      </c>
      <c r="AC70" s="44" t="e">
        <f>INT(INDEX('Dados Consolidados'!$V$2:$V$1000000, MATCH(J70, 'Dados Consolidados'!$J$2:$J$1000000, 0)))</f>
        <v>#N/A</v>
      </c>
      <c r="AD70" s="44" t="e">
        <f>INT(INDEX('Dados Consolidados'!$X$2:$X$1000000, MATCH(K70, 'Dados Consolidados'!$K$2:$K$1000000, 0)))</f>
        <v>#N/A</v>
      </c>
      <c r="AE70" s="44" t="e">
        <f>INT(INDEX('Dados Consolidados'!$W$2:$W$1000000, MATCH(P70, 'Dados Consolidados'!$P$2:$P$1000000, 0)))</f>
        <v>#N/A</v>
      </c>
    </row>
    <row r="71" spans="6:31" ht="20.100000000000001" customHeight="1" x14ac:dyDescent="0.25">
      <c r="F71" s="14"/>
      <c r="G71" s="14"/>
      <c r="L71" s="14"/>
      <c r="M71" s="15"/>
      <c r="N71" s="16"/>
      <c r="O71" s="16"/>
      <c r="Y71" s="44" t="e">
        <f>INT(INDEX('Dados Consolidados'!$R$2:$R$1000000, MATCH(A71, 'Dados Consolidados'!$A$2:$A$1000000, 0)))</f>
        <v>#N/A</v>
      </c>
      <c r="Z71" s="44" t="e">
        <f>INT(INDEX('Dados Consolidados'!$S$2:$S$1000000, MATCH(B71, 'Dados Consolidados'!$B$2:$B$1000000, 0)))</f>
        <v>#N/A</v>
      </c>
      <c r="AA71" s="44" t="e">
        <f>INT(INDEX('Dados Consolidados'!$T$2:$T$1000000, MATCH(E71, 'Dados Consolidados'!$E$2:$E$1000000, 0)))</f>
        <v>#N/A</v>
      </c>
      <c r="AB71" s="44" t="e">
        <f>INT(INDEX('Dados Consolidados'!$U$2:$U$1000000, MATCH(H71, 'Dados Consolidados'!$H$2:$H$1000000, 0)))</f>
        <v>#N/A</v>
      </c>
      <c r="AC71" s="44" t="e">
        <f>INT(INDEX('Dados Consolidados'!$V$2:$V$1000000, MATCH(J71, 'Dados Consolidados'!$J$2:$J$1000000, 0)))</f>
        <v>#N/A</v>
      </c>
      <c r="AD71" s="44" t="e">
        <f>INT(INDEX('Dados Consolidados'!$X$2:$X$1000000, MATCH(K71, 'Dados Consolidados'!$K$2:$K$1000000, 0)))</f>
        <v>#N/A</v>
      </c>
      <c r="AE71" s="44" t="e">
        <f>INT(INDEX('Dados Consolidados'!$W$2:$W$1000000, MATCH(P71, 'Dados Consolidados'!$P$2:$P$1000000, 0)))</f>
        <v>#N/A</v>
      </c>
    </row>
    <row r="72" spans="6:31" ht="20.100000000000001" customHeight="1" x14ac:dyDescent="0.25">
      <c r="F72" s="14"/>
      <c r="G72" s="14"/>
      <c r="L72" s="14"/>
      <c r="M72" s="15"/>
      <c r="N72" s="16"/>
      <c r="O72" s="16"/>
      <c r="Y72" s="44" t="e">
        <f>INT(INDEX('Dados Consolidados'!$R$2:$R$1000000, MATCH(A72, 'Dados Consolidados'!$A$2:$A$1000000, 0)))</f>
        <v>#N/A</v>
      </c>
      <c r="Z72" s="44" t="e">
        <f>INT(INDEX('Dados Consolidados'!$S$2:$S$1000000, MATCH(B72, 'Dados Consolidados'!$B$2:$B$1000000, 0)))</f>
        <v>#N/A</v>
      </c>
      <c r="AA72" s="44" t="e">
        <f>INT(INDEX('Dados Consolidados'!$T$2:$T$1000000, MATCH(E72, 'Dados Consolidados'!$E$2:$E$1000000, 0)))</f>
        <v>#N/A</v>
      </c>
      <c r="AB72" s="44" t="e">
        <f>INT(INDEX('Dados Consolidados'!$U$2:$U$1000000, MATCH(H72, 'Dados Consolidados'!$H$2:$H$1000000, 0)))</f>
        <v>#N/A</v>
      </c>
      <c r="AC72" s="44" t="e">
        <f>INT(INDEX('Dados Consolidados'!$V$2:$V$1000000, MATCH(J72, 'Dados Consolidados'!$J$2:$J$1000000, 0)))</f>
        <v>#N/A</v>
      </c>
      <c r="AD72" s="44" t="e">
        <f>INT(INDEX('Dados Consolidados'!$X$2:$X$1000000, MATCH(K72, 'Dados Consolidados'!$K$2:$K$1000000, 0)))</f>
        <v>#N/A</v>
      </c>
      <c r="AE72" s="44" t="e">
        <f>INT(INDEX('Dados Consolidados'!$W$2:$W$1000000, MATCH(P72, 'Dados Consolidados'!$P$2:$P$1000000, 0)))</f>
        <v>#N/A</v>
      </c>
    </row>
    <row r="73" spans="6:31" ht="20.100000000000001" customHeight="1" x14ac:dyDescent="0.25">
      <c r="F73" s="14"/>
      <c r="G73" s="14"/>
      <c r="L73" s="14"/>
      <c r="M73" s="15"/>
      <c r="N73" s="16"/>
      <c r="O73" s="16"/>
      <c r="Y73" s="44" t="e">
        <f>INT(INDEX('Dados Consolidados'!$R$2:$R$1000000, MATCH(A73, 'Dados Consolidados'!$A$2:$A$1000000, 0)))</f>
        <v>#N/A</v>
      </c>
      <c r="Z73" s="44" t="e">
        <f>INT(INDEX('Dados Consolidados'!$S$2:$S$1000000, MATCH(B73, 'Dados Consolidados'!$B$2:$B$1000000, 0)))</f>
        <v>#N/A</v>
      </c>
      <c r="AA73" s="44" t="e">
        <f>INT(INDEX('Dados Consolidados'!$T$2:$T$1000000, MATCH(E73, 'Dados Consolidados'!$E$2:$E$1000000, 0)))</f>
        <v>#N/A</v>
      </c>
      <c r="AB73" s="44" t="e">
        <f>INT(INDEX('Dados Consolidados'!$U$2:$U$1000000, MATCH(H73, 'Dados Consolidados'!$H$2:$H$1000000, 0)))</f>
        <v>#N/A</v>
      </c>
      <c r="AC73" s="44" t="e">
        <f>INT(INDEX('Dados Consolidados'!$V$2:$V$1000000, MATCH(J73, 'Dados Consolidados'!$J$2:$J$1000000, 0)))</f>
        <v>#N/A</v>
      </c>
      <c r="AD73" s="44" t="e">
        <f>INT(INDEX('Dados Consolidados'!$X$2:$X$1000000, MATCH(K73, 'Dados Consolidados'!$K$2:$K$1000000, 0)))</f>
        <v>#N/A</v>
      </c>
      <c r="AE73" s="44" t="e">
        <f>INT(INDEX('Dados Consolidados'!$W$2:$W$1000000, MATCH(P73, 'Dados Consolidados'!$P$2:$P$1000000, 0)))</f>
        <v>#N/A</v>
      </c>
    </row>
    <row r="74" spans="6:31" ht="20.100000000000001" customHeight="1" x14ac:dyDescent="0.25">
      <c r="F74" s="14"/>
      <c r="G74" s="14"/>
      <c r="L74" s="14"/>
      <c r="M74" s="15"/>
      <c r="N74" s="16"/>
      <c r="O74" s="16"/>
      <c r="Y74" s="44" t="e">
        <f>INT(INDEX('Dados Consolidados'!$R$2:$R$1000000, MATCH(A74, 'Dados Consolidados'!$A$2:$A$1000000, 0)))</f>
        <v>#N/A</v>
      </c>
      <c r="Z74" s="44" t="e">
        <f>INT(INDEX('Dados Consolidados'!$S$2:$S$1000000, MATCH(B74, 'Dados Consolidados'!$B$2:$B$1000000, 0)))</f>
        <v>#N/A</v>
      </c>
      <c r="AA74" s="44" t="e">
        <f>INT(INDEX('Dados Consolidados'!$T$2:$T$1000000, MATCH(E74, 'Dados Consolidados'!$E$2:$E$1000000, 0)))</f>
        <v>#N/A</v>
      </c>
      <c r="AB74" s="44" t="e">
        <f>INT(INDEX('Dados Consolidados'!$U$2:$U$1000000, MATCH(H74, 'Dados Consolidados'!$H$2:$H$1000000, 0)))</f>
        <v>#N/A</v>
      </c>
      <c r="AC74" s="44" t="e">
        <f>INT(INDEX('Dados Consolidados'!$V$2:$V$1000000, MATCH(J74, 'Dados Consolidados'!$J$2:$J$1000000, 0)))</f>
        <v>#N/A</v>
      </c>
      <c r="AD74" s="44" t="e">
        <f>INT(INDEX('Dados Consolidados'!$X$2:$X$1000000, MATCH(K74, 'Dados Consolidados'!$K$2:$K$1000000, 0)))</f>
        <v>#N/A</v>
      </c>
      <c r="AE74" s="44" t="e">
        <f>INT(INDEX('Dados Consolidados'!$W$2:$W$1000000, MATCH(P74, 'Dados Consolidados'!$P$2:$P$1000000, 0)))</f>
        <v>#N/A</v>
      </c>
    </row>
    <row r="75" spans="6:31" ht="20.100000000000001" customHeight="1" x14ac:dyDescent="0.25">
      <c r="F75" s="14"/>
      <c r="G75" s="14"/>
      <c r="L75" s="14"/>
      <c r="M75" s="15"/>
      <c r="N75" s="16"/>
      <c r="O75" s="16"/>
      <c r="Y75" s="44" t="e">
        <f>INT(INDEX('Dados Consolidados'!$R$2:$R$1000000, MATCH(A75, 'Dados Consolidados'!$A$2:$A$1000000, 0)))</f>
        <v>#N/A</v>
      </c>
      <c r="Z75" s="44" t="e">
        <f>INT(INDEX('Dados Consolidados'!$S$2:$S$1000000, MATCH(B75, 'Dados Consolidados'!$B$2:$B$1000000, 0)))</f>
        <v>#N/A</v>
      </c>
      <c r="AA75" s="44" t="e">
        <f>INT(INDEX('Dados Consolidados'!$T$2:$T$1000000, MATCH(E75, 'Dados Consolidados'!$E$2:$E$1000000, 0)))</f>
        <v>#N/A</v>
      </c>
      <c r="AB75" s="44" t="e">
        <f>INT(INDEX('Dados Consolidados'!$U$2:$U$1000000, MATCH(H75, 'Dados Consolidados'!$H$2:$H$1000000, 0)))</f>
        <v>#N/A</v>
      </c>
      <c r="AC75" s="44" t="e">
        <f>INT(INDEX('Dados Consolidados'!$V$2:$V$1000000, MATCH(J75, 'Dados Consolidados'!$J$2:$J$1000000, 0)))</f>
        <v>#N/A</v>
      </c>
      <c r="AD75" s="44" t="e">
        <f>INT(INDEX('Dados Consolidados'!$X$2:$X$1000000, MATCH(K75, 'Dados Consolidados'!$K$2:$K$1000000, 0)))</f>
        <v>#N/A</v>
      </c>
      <c r="AE75" s="44" t="e">
        <f>INT(INDEX('Dados Consolidados'!$W$2:$W$1000000, MATCH(P75, 'Dados Consolidados'!$P$2:$P$1000000, 0)))</f>
        <v>#N/A</v>
      </c>
    </row>
    <row r="76" spans="6:31" ht="20.100000000000001" customHeight="1" x14ac:dyDescent="0.25">
      <c r="F76" s="14"/>
      <c r="G76" s="14"/>
      <c r="L76" s="14"/>
      <c r="M76" s="15"/>
      <c r="N76" s="16"/>
      <c r="O76" s="16"/>
      <c r="Y76" s="44" t="e">
        <f>INT(INDEX('Dados Consolidados'!$R$2:$R$1000000, MATCH(A76, 'Dados Consolidados'!$A$2:$A$1000000, 0)))</f>
        <v>#N/A</v>
      </c>
      <c r="Z76" s="44" t="e">
        <f>INT(INDEX('Dados Consolidados'!$S$2:$S$1000000, MATCH(B76, 'Dados Consolidados'!$B$2:$B$1000000, 0)))</f>
        <v>#N/A</v>
      </c>
      <c r="AA76" s="44" t="e">
        <f>INT(INDEX('Dados Consolidados'!$T$2:$T$1000000, MATCH(E76, 'Dados Consolidados'!$E$2:$E$1000000, 0)))</f>
        <v>#N/A</v>
      </c>
      <c r="AB76" s="44" t="e">
        <f>INT(INDEX('Dados Consolidados'!$U$2:$U$1000000, MATCH(H76, 'Dados Consolidados'!$H$2:$H$1000000, 0)))</f>
        <v>#N/A</v>
      </c>
      <c r="AC76" s="44" t="e">
        <f>INT(INDEX('Dados Consolidados'!$V$2:$V$1000000, MATCH(J76, 'Dados Consolidados'!$J$2:$J$1000000, 0)))</f>
        <v>#N/A</v>
      </c>
      <c r="AD76" s="44" t="e">
        <f>INT(INDEX('Dados Consolidados'!$X$2:$X$1000000, MATCH(K76, 'Dados Consolidados'!$K$2:$K$1000000, 0)))</f>
        <v>#N/A</v>
      </c>
      <c r="AE76" s="44" t="e">
        <f>INT(INDEX('Dados Consolidados'!$W$2:$W$1000000, MATCH(P76, 'Dados Consolidados'!$P$2:$P$1000000, 0)))</f>
        <v>#N/A</v>
      </c>
    </row>
    <row r="77" spans="6:31" ht="20.100000000000001" customHeight="1" x14ac:dyDescent="0.25">
      <c r="F77" s="14"/>
      <c r="G77" s="14"/>
      <c r="L77" s="14"/>
      <c r="M77" s="15"/>
      <c r="N77" s="16"/>
      <c r="O77" s="16"/>
      <c r="Y77" s="44" t="e">
        <f>INT(INDEX('Dados Consolidados'!$R$2:$R$1000000, MATCH(A77, 'Dados Consolidados'!$A$2:$A$1000000, 0)))</f>
        <v>#N/A</v>
      </c>
      <c r="Z77" s="44" t="e">
        <f>INT(INDEX('Dados Consolidados'!$S$2:$S$1000000, MATCH(B77, 'Dados Consolidados'!$B$2:$B$1000000, 0)))</f>
        <v>#N/A</v>
      </c>
      <c r="AA77" s="44" t="e">
        <f>INT(INDEX('Dados Consolidados'!$T$2:$T$1000000, MATCH(E77, 'Dados Consolidados'!$E$2:$E$1000000, 0)))</f>
        <v>#N/A</v>
      </c>
      <c r="AB77" s="44" t="e">
        <f>INT(INDEX('Dados Consolidados'!$U$2:$U$1000000, MATCH(H77, 'Dados Consolidados'!$H$2:$H$1000000, 0)))</f>
        <v>#N/A</v>
      </c>
      <c r="AC77" s="44" t="e">
        <f>INT(INDEX('Dados Consolidados'!$V$2:$V$1000000, MATCH(J77, 'Dados Consolidados'!$J$2:$J$1000000, 0)))</f>
        <v>#N/A</v>
      </c>
      <c r="AD77" s="44" t="e">
        <f>INT(INDEX('Dados Consolidados'!$X$2:$X$1000000, MATCH(K77, 'Dados Consolidados'!$K$2:$K$1000000, 0)))</f>
        <v>#N/A</v>
      </c>
      <c r="AE77" s="44" t="e">
        <f>INT(INDEX('Dados Consolidados'!$W$2:$W$1000000, MATCH(P77, 'Dados Consolidados'!$P$2:$P$1000000, 0)))</f>
        <v>#N/A</v>
      </c>
    </row>
    <row r="78" spans="6:31" ht="20.100000000000001" customHeight="1" x14ac:dyDescent="0.25">
      <c r="F78" s="14"/>
      <c r="G78" s="14"/>
      <c r="L78" s="14"/>
      <c r="M78" s="15"/>
      <c r="N78" s="16"/>
      <c r="O78" s="16"/>
      <c r="Y78" s="44" t="e">
        <f>INT(INDEX('Dados Consolidados'!$R$2:$R$1000000, MATCH(A78, 'Dados Consolidados'!$A$2:$A$1000000, 0)))</f>
        <v>#N/A</v>
      </c>
      <c r="Z78" s="44" t="e">
        <f>INT(INDEX('Dados Consolidados'!$S$2:$S$1000000, MATCH(B78, 'Dados Consolidados'!$B$2:$B$1000000, 0)))</f>
        <v>#N/A</v>
      </c>
      <c r="AA78" s="44" t="e">
        <f>INT(INDEX('Dados Consolidados'!$T$2:$T$1000000, MATCH(E78, 'Dados Consolidados'!$E$2:$E$1000000, 0)))</f>
        <v>#N/A</v>
      </c>
      <c r="AB78" s="44" t="e">
        <f>INT(INDEX('Dados Consolidados'!$U$2:$U$1000000, MATCH(H78, 'Dados Consolidados'!$H$2:$H$1000000, 0)))</f>
        <v>#N/A</v>
      </c>
      <c r="AC78" s="44" t="e">
        <f>INT(INDEX('Dados Consolidados'!$V$2:$V$1000000, MATCH(J78, 'Dados Consolidados'!$J$2:$J$1000000, 0)))</f>
        <v>#N/A</v>
      </c>
      <c r="AD78" s="44" t="e">
        <f>INT(INDEX('Dados Consolidados'!$X$2:$X$1000000, MATCH(K78, 'Dados Consolidados'!$K$2:$K$1000000, 0)))</f>
        <v>#N/A</v>
      </c>
      <c r="AE78" s="44" t="e">
        <f>INT(INDEX('Dados Consolidados'!$W$2:$W$1000000, MATCH(P78, 'Dados Consolidados'!$P$2:$P$1000000, 0)))</f>
        <v>#N/A</v>
      </c>
    </row>
    <row r="79" spans="6:31" ht="20.100000000000001" customHeight="1" x14ac:dyDescent="0.25">
      <c r="F79" s="14"/>
      <c r="G79" s="14"/>
      <c r="L79" s="14"/>
      <c r="M79" s="15"/>
      <c r="N79" s="16"/>
      <c r="O79" s="16"/>
      <c r="Y79" s="44" t="e">
        <f>INT(INDEX('Dados Consolidados'!$R$2:$R$1000000, MATCH(A79, 'Dados Consolidados'!$A$2:$A$1000000, 0)))</f>
        <v>#N/A</v>
      </c>
      <c r="Z79" s="44" t="e">
        <f>INT(INDEX('Dados Consolidados'!$S$2:$S$1000000, MATCH(B79, 'Dados Consolidados'!$B$2:$B$1000000, 0)))</f>
        <v>#N/A</v>
      </c>
      <c r="AA79" s="44" t="e">
        <f>INT(INDEX('Dados Consolidados'!$T$2:$T$1000000, MATCH(E79, 'Dados Consolidados'!$E$2:$E$1000000, 0)))</f>
        <v>#N/A</v>
      </c>
      <c r="AB79" s="44" t="e">
        <f>INT(INDEX('Dados Consolidados'!$U$2:$U$1000000, MATCH(H79, 'Dados Consolidados'!$H$2:$H$1000000, 0)))</f>
        <v>#N/A</v>
      </c>
      <c r="AC79" s="44" t="e">
        <f>INT(INDEX('Dados Consolidados'!$V$2:$V$1000000, MATCH(J79, 'Dados Consolidados'!$J$2:$J$1000000, 0)))</f>
        <v>#N/A</v>
      </c>
      <c r="AD79" s="44" t="e">
        <f>INT(INDEX('Dados Consolidados'!$X$2:$X$1000000, MATCH(K79, 'Dados Consolidados'!$K$2:$K$1000000, 0)))</f>
        <v>#N/A</v>
      </c>
      <c r="AE79" s="44" t="e">
        <f>INT(INDEX('Dados Consolidados'!$W$2:$W$1000000, MATCH(P79, 'Dados Consolidados'!$P$2:$P$1000000, 0)))</f>
        <v>#N/A</v>
      </c>
    </row>
    <row r="80" spans="6:31" ht="20.100000000000001" customHeight="1" x14ac:dyDescent="0.25">
      <c r="F80" s="14"/>
      <c r="G80" s="14"/>
      <c r="L80" s="14"/>
      <c r="M80" s="15"/>
      <c r="N80" s="16"/>
      <c r="O80" s="16"/>
      <c r="Y80" s="44" t="e">
        <f>INT(INDEX('Dados Consolidados'!$R$2:$R$1000000, MATCH(A80, 'Dados Consolidados'!$A$2:$A$1000000, 0)))</f>
        <v>#N/A</v>
      </c>
      <c r="Z80" s="44" t="e">
        <f>INT(INDEX('Dados Consolidados'!$S$2:$S$1000000, MATCH(B80, 'Dados Consolidados'!$B$2:$B$1000000, 0)))</f>
        <v>#N/A</v>
      </c>
      <c r="AA80" s="44" t="e">
        <f>INT(INDEX('Dados Consolidados'!$T$2:$T$1000000, MATCH(E80, 'Dados Consolidados'!$E$2:$E$1000000, 0)))</f>
        <v>#N/A</v>
      </c>
      <c r="AB80" s="44" t="e">
        <f>INT(INDEX('Dados Consolidados'!$U$2:$U$1000000, MATCH(H80, 'Dados Consolidados'!$H$2:$H$1000000, 0)))</f>
        <v>#N/A</v>
      </c>
      <c r="AC80" s="44" t="e">
        <f>INT(INDEX('Dados Consolidados'!$V$2:$V$1000000, MATCH(J80, 'Dados Consolidados'!$J$2:$J$1000000, 0)))</f>
        <v>#N/A</v>
      </c>
      <c r="AD80" s="44" t="e">
        <f>INT(INDEX('Dados Consolidados'!$X$2:$X$1000000, MATCH(K80, 'Dados Consolidados'!$K$2:$K$1000000, 0)))</f>
        <v>#N/A</v>
      </c>
      <c r="AE80" s="44" t="e">
        <f>INT(INDEX('Dados Consolidados'!$W$2:$W$1000000, MATCH(P80, 'Dados Consolidados'!$P$2:$P$1000000, 0)))</f>
        <v>#N/A</v>
      </c>
    </row>
    <row r="81" spans="6:31" ht="20.100000000000001" customHeight="1" x14ac:dyDescent="0.25">
      <c r="F81" s="14"/>
      <c r="G81" s="14"/>
      <c r="L81" s="14"/>
      <c r="M81" s="15"/>
      <c r="N81" s="16"/>
      <c r="O81" s="16"/>
      <c r="Y81" s="44" t="e">
        <f>INT(INDEX('Dados Consolidados'!$R$2:$R$1000000, MATCH(A81, 'Dados Consolidados'!$A$2:$A$1000000, 0)))</f>
        <v>#N/A</v>
      </c>
      <c r="Z81" s="44" t="e">
        <f>INT(INDEX('Dados Consolidados'!$S$2:$S$1000000, MATCH(B81, 'Dados Consolidados'!$B$2:$B$1000000, 0)))</f>
        <v>#N/A</v>
      </c>
      <c r="AA81" s="44" t="e">
        <f>INT(INDEX('Dados Consolidados'!$T$2:$T$1000000, MATCH(E81, 'Dados Consolidados'!$E$2:$E$1000000, 0)))</f>
        <v>#N/A</v>
      </c>
      <c r="AB81" s="44" t="e">
        <f>INT(INDEX('Dados Consolidados'!$U$2:$U$1000000, MATCH(H81, 'Dados Consolidados'!$H$2:$H$1000000, 0)))</f>
        <v>#N/A</v>
      </c>
      <c r="AC81" s="44" t="e">
        <f>INT(INDEX('Dados Consolidados'!$V$2:$V$1000000, MATCH(J81, 'Dados Consolidados'!$J$2:$J$1000000, 0)))</f>
        <v>#N/A</v>
      </c>
      <c r="AD81" s="44" t="e">
        <f>INT(INDEX('Dados Consolidados'!$X$2:$X$1000000, MATCH(K81, 'Dados Consolidados'!$K$2:$K$1000000, 0)))</f>
        <v>#N/A</v>
      </c>
      <c r="AE81" s="44" t="e">
        <f>INT(INDEX('Dados Consolidados'!$W$2:$W$1000000, MATCH(P81, 'Dados Consolidados'!$P$2:$P$1000000, 0)))</f>
        <v>#N/A</v>
      </c>
    </row>
    <row r="82" spans="6:31" ht="20.100000000000001" customHeight="1" x14ac:dyDescent="0.25">
      <c r="F82" s="14"/>
      <c r="G82" s="14"/>
      <c r="L82" s="14"/>
      <c r="M82" s="15"/>
      <c r="N82" s="16"/>
      <c r="O82" s="16"/>
      <c r="Y82" s="44" t="e">
        <f>INT(INDEX('Dados Consolidados'!$R$2:$R$1000000, MATCH(A82, 'Dados Consolidados'!$A$2:$A$1000000, 0)))</f>
        <v>#N/A</v>
      </c>
      <c r="Z82" s="44" t="e">
        <f>INT(INDEX('Dados Consolidados'!$S$2:$S$1000000, MATCH(B82, 'Dados Consolidados'!$B$2:$B$1000000, 0)))</f>
        <v>#N/A</v>
      </c>
      <c r="AA82" s="44" t="e">
        <f>INT(INDEX('Dados Consolidados'!$T$2:$T$1000000, MATCH(E82, 'Dados Consolidados'!$E$2:$E$1000000, 0)))</f>
        <v>#N/A</v>
      </c>
      <c r="AB82" s="44" t="e">
        <f>INT(INDEX('Dados Consolidados'!$U$2:$U$1000000, MATCH(H82, 'Dados Consolidados'!$H$2:$H$1000000, 0)))</f>
        <v>#N/A</v>
      </c>
      <c r="AC82" s="44" t="e">
        <f>INT(INDEX('Dados Consolidados'!$V$2:$V$1000000, MATCH(J82, 'Dados Consolidados'!$J$2:$J$1000000, 0)))</f>
        <v>#N/A</v>
      </c>
      <c r="AD82" s="44" t="e">
        <f>INT(INDEX('Dados Consolidados'!$X$2:$X$1000000, MATCH(K82, 'Dados Consolidados'!$K$2:$K$1000000, 0)))</f>
        <v>#N/A</v>
      </c>
      <c r="AE82" s="44" t="e">
        <f>INT(INDEX('Dados Consolidados'!$W$2:$W$1000000, MATCH(P82, 'Dados Consolidados'!$P$2:$P$1000000, 0)))</f>
        <v>#N/A</v>
      </c>
    </row>
    <row r="83" spans="6:31" ht="20.100000000000001" customHeight="1" x14ac:dyDescent="0.25">
      <c r="F83" s="14"/>
      <c r="G83" s="14"/>
      <c r="L83" s="14"/>
      <c r="M83" s="15"/>
      <c r="N83" s="16"/>
      <c r="O83" s="16"/>
      <c r="Y83" s="44" t="e">
        <f>INT(INDEX('Dados Consolidados'!$R$2:$R$1000000, MATCH(A83, 'Dados Consolidados'!$A$2:$A$1000000, 0)))</f>
        <v>#N/A</v>
      </c>
      <c r="Z83" s="44" t="e">
        <f>INT(INDEX('Dados Consolidados'!$S$2:$S$1000000, MATCH(B83, 'Dados Consolidados'!$B$2:$B$1000000, 0)))</f>
        <v>#N/A</v>
      </c>
      <c r="AA83" s="44" t="e">
        <f>INT(INDEX('Dados Consolidados'!$T$2:$T$1000000, MATCH(E83, 'Dados Consolidados'!$E$2:$E$1000000, 0)))</f>
        <v>#N/A</v>
      </c>
      <c r="AB83" s="44" t="e">
        <f>INT(INDEX('Dados Consolidados'!$U$2:$U$1000000, MATCH(H83, 'Dados Consolidados'!$H$2:$H$1000000, 0)))</f>
        <v>#N/A</v>
      </c>
      <c r="AC83" s="44" t="e">
        <f>INT(INDEX('Dados Consolidados'!$V$2:$V$1000000, MATCH(J83, 'Dados Consolidados'!$J$2:$J$1000000, 0)))</f>
        <v>#N/A</v>
      </c>
      <c r="AD83" s="44" t="e">
        <f>INT(INDEX('Dados Consolidados'!$X$2:$X$1000000, MATCH(K83, 'Dados Consolidados'!$K$2:$K$1000000, 0)))</f>
        <v>#N/A</v>
      </c>
      <c r="AE83" s="44" t="e">
        <f>INT(INDEX('Dados Consolidados'!$W$2:$W$1000000, MATCH(P83, 'Dados Consolidados'!$P$2:$P$1000000, 0)))</f>
        <v>#N/A</v>
      </c>
    </row>
    <row r="84" spans="6:31" ht="20.100000000000001" customHeight="1" x14ac:dyDescent="0.25">
      <c r="F84" s="14"/>
      <c r="G84" s="14"/>
      <c r="L84" s="14"/>
      <c r="M84" s="15"/>
      <c r="N84" s="16"/>
      <c r="O84" s="16"/>
      <c r="Y84" s="44" t="e">
        <f>INT(INDEX('Dados Consolidados'!$R$2:$R$1000000, MATCH(A84, 'Dados Consolidados'!$A$2:$A$1000000, 0)))</f>
        <v>#N/A</v>
      </c>
      <c r="Z84" s="44" t="e">
        <f>INT(INDEX('Dados Consolidados'!$S$2:$S$1000000, MATCH(B84, 'Dados Consolidados'!$B$2:$B$1000000, 0)))</f>
        <v>#N/A</v>
      </c>
      <c r="AA84" s="44" t="e">
        <f>INT(INDEX('Dados Consolidados'!$T$2:$T$1000000, MATCH(E84, 'Dados Consolidados'!$E$2:$E$1000000, 0)))</f>
        <v>#N/A</v>
      </c>
      <c r="AB84" s="44" t="e">
        <f>INT(INDEX('Dados Consolidados'!$U$2:$U$1000000, MATCH(H84, 'Dados Consolidados'!$H$2:$H$1000000, 0)))</f>
        <v>#N/A</v>
      </c>
      <c r="AC84" s="44" t="e">
        <f>INT(INDEX('Dados Consolidados'!$V$2:$V$1000000, MATCH(J84, 'Dados Consolidados'!$J$2:$J$1000000, 0)))</f>
        <v>#N/A</v>
      </c>
      <c r="AD84" s="44" t="e">
        <f>INT(INDEX('Dados Consolidados'!$X$2:$X$1000000, MATCH(K84, 'Dados Consolidados'!$K$2:$K$1000000, 0)))</f>
        <v>#N/A</v>
      </c>
      <c r="AE84" s="44" t="e">
        <f>INT(INDEX('Dados Consolidados'!$W$2:$W$1000000, MATCH(P84, 'Dados Consolidados'!$P$2:$P$1000000, 0)))</f>
        <v>#N/A</v>
      </c>
    </row>
    <row r="85" spans="6:31" ht="20.100000000000001" customHeight="1" x14ac:dyDescent="0.25">
      <c r="F85" s="14"/>
      <c r="G85" s="14"/>
      <c r="L85" s="14"/>
      <c r="M85" s="15"/>
      <c r="N85" s="16"/>
      <c r="O85" s="16"/>
      <c r="Y85" s="44" t="e">
        <f>INT(INDEX('Dados Consolidados'!$R$2:$R$1000000, MATCH(A85, 'Dados Consolidados'!$A$2:$A$1000000, 0)))</f>
        <v>#N/A</v>
      </c>
      <c r="Z85" s="44" t="e">
        <f>INT(INDEX('Dados Consolidados'!$S$2:$S$1000000, MATCH(B85, 'Dados Consolidados'!$B$2:$B$1000000, 0)))</f>
        <v>#N/A</v>
      </c>
      <c r="AA85" s="44" t="e">
        <f>INT(INDEX('Dados Consolidados'!$T$2:$T$1000000, MATCH(E85, 'Dados Consolidados'!$E$2:$E$1000000, 0)))</f>
        <v>#N/A</v>
      </c>
      <c r="AB85" s="44" t="e">
        <f>INT(INDEX('Dados Consolidados'!$U$2:$U$1000000, MATCH(H85, 'Dados Consolidados'!$H$2:$H$1000000, 0)))</f>
        <v>#N/A</v>
      </c>
      <c r="AC85" s="44" t="e">
        <f>INT(INDEX('Dados Consolidados'!$V$2:$V$1000000, MATCH(J85, 'Dados Consolidados'!$J$2:$J$1000000, 0)))</f>
        <v>#N/A</v>
      </c>
      <c r="AD85" s="44" t="e">
        <f>INT(INDEX('Dados Consolidados'!$X$2:$X$1000000, MATCH(K85, 'Dados Consolidados'!$K$2:$K$1000000, 0)))</f>
        <v>#N/A</v>
      </c>
      <c r="AE85" s="44" t="e">
        <f>INT(INDEX('Dados Consolidados'!$W$2:$W$1000000, MATCH(P85, 'Dados Consolidados'!$P$2:$P$1000000, 0)))</f>
        <v>#N/A</v>
      </c>
    </row>
    <row r="86" spans="6:31" ht="20.100000000000001" customHeight="1" x14ac:dyDescent="0.25">
      <c r="F86" s="14"/>
      <c r="G86" s="14"/>
      <c r="L86" s="14"/>
      <c r="M86" s="15"/>
      <c r="N86" s="16"/>
      <c r="O86" s="16"/>
      <c r="Y86" s="44" t="e">
        <f>INT(INDEX('Dados Consolidados'!$R$2:$R$1000000, MATCH(A86, 'Dados Consolidados'!$A$2:$A$1000000, 0)))</f>
        <v>#N/A</v>
      </c>
      <c r="Z86" s="44" t="e">
        <f>INT(INDEX('Dados Consolidados'!$S$2:$S$1000000, MATCH(B86, 'Dados Consolidados'!$B$2:$B$1000000, 0)))</f>
        <v>#N/A</v>
      </c>
      <c r="AA86" s="44" t="e">
        <f>INT(INDEX('Dados Consolidados'!$T$2:$T$1000000, MATCH(E86, 'Dados Consolidados'!$E$2:$E$1000000, 0)))</f>
        <v>#N/A</v>
      </c>
      <c r="AB86" s="44" t="e">
        <f>INT(INDEX('Dados Consolidados'!$U$2:$U$1000000, MATCH(H86, 'Dados Consolidados'!$H$2:$H$1000000, 0)))</f>
        <v>#N/A</v>
      </c>
      <c r="AC86" s="44" t="e">
        <f>INT(INDEX('Dados Consolidados'!$V$2:$V$1000000, MATCH(J86, 'Dados Consolidados'!$J$2:$J$1000000, 0)))</f>
        <v>#N/A</v>
      </c>
      <c r="AD86" s="44" t="e">
        <f>INT(INDEX('Dados Consolidados'!$X$2:$X$1000000, MATCH(K86, 'Dados Consolidados'!$K$2:$K$1000000, 0)))</f>
        <v>#N/A</v>
      </c>
      <c r="AE86" s="44" t="e">
        <f>INT(INDEX('Dados Consolidados'!$W$2:$W$1000000, MATCH(P86, 'Dados Consolidados'!$P$2:$P$1000000, 0)))</f>
        <v>#N/A</v>
      </c>
    </row>
    <row r="87" spans="6:31" ht="20.100000000000001" customHeight="1" x14ac:dyDescent="0.25">
      <c r="F87" s="14"/>
      <c r="G87" s="14"/>
      <c r="L87" s="14"/>
      <c r="M87" s="15"/>
      <c r="N87" s="16"/>
      <c r="O87" s="16"/>
      <c r="Y87" s="44" t="e">
        <f>INT(INDEX('Dados Consolidados'!$R$2:$R$1000000, MATCH(A87, 'Dados Consolidados'!$A$2:$A$1000000, 0)))</f>
        <v>#N/A</v>
      </c>
      <c r="Z87" s="44" t="e">
        <f>INT(INDEX('Dados Consolidados'!$S$2:$S$1000000, MATCH(B87, 'Dados Consolidados'!$B$2:$B$1000000, 0)))</f>
        <v>#N/A</v>
      </c>
      <c r="AA87" s="44" t="e">
        <f>INT(INDEX('Dados Consolidados'!$T$2:$T$1000000, MATCH(E87, 'Dados Consolidados'!$E$2:$E$1000000, 0)))</f>
        <v>#N/A</v>
      </c>
      <c r="AB87" s="44" t="e">
        <f>INT(INDEX('Dados Consolidados'!$U$2:$U$1000000, MATCH(H87, 'Dados Consolidados'!$H$2:$H$1000000, 0)))</f>
        <v>#N/A</v>
      </c>
      <c r="AC87" s="44" t="e">
        <f>INT(INDEX('Dados Consolidados'!$V$2:$V$1000000, MATCH(J87, 'Dados Consolidados'!$J$2:$J$1000000, 0)))</f>
        <v>#N/A</v>
      </c>
      <c r="AD87" s="44" t="e">
        <f>INT(INDEX('Dados Consolidados'!$X$2:$X$1000000, MATCH(K87, 'Dados Consolidados'!$K$2:$K$1000000, 0)))</f>
        <v>#N/A</v>
      </c>
      <c r="AE87" s="44" t="e">
        <f>INT(INDEX('Dados Consolidados'!$W$2:$W$1000000, MATCH(P87, 'Dados Consolidados'!$P$2:$P$1000000, 0)))</f>
        <v>#N/A</v>
      </c>
    </row>
    <row r="88" spans="6:31" ht="20.100000000000001" customHeight="1" x14ac:dyDescent="0.25">
      <c r="F88" s="14"/>
      <c r="G88" s="14"/>
      <c r="L88" s="14"/>
      <c r="M88" s="15"/>
      <c r="N88" s="16"/>
      <c r="O88" s="16"/>
      <c r="Y88" s="44" t="e">
        <f>INT(INDEX('Dados Consolidados'!$R$2:$R$1000000, MATCH(A88, 'Dados Consolidados'!$A$2:$A$1000000, 0)))</f>
        <v>#N/A</v>
      </c>
      <c r="Z88" s="44" t="e">
        <f>INT(INDEX('Dados Consolidados'!$S$2:$S$1000000, MATCH(B88, 'Dados Consolidados'!$B$2:$B$1000000, 0)))</f>
        <v>#N/A</v>
      </c>
      <c r="AA88" s="44" t="e">
        <f>INT(INDEX('Dados Consolidados'!$T$2:$T$1000000, MATCH(E88, 'Dados Consolidados'!$E$2:$E$1000000, 0)))</f>
        <v>#N/A</v>
      </c>
      <c r="AB88" s="44" t="e">
        <f>INT(INDEX('Dados Consolidados'!$U$2:$U$1000000, MATCH(H88, 'Dados Consolidados'!$H$2:$H$1000000, 0)))</f>
        <v>#N/A</v>
      </c>
      <c r="AC88" s="44" t="e">
        <f>INT(INDEX('Dados Consolidados'!$V$2:$V$1000000, MATCH(J88, 'Dados Consolidados'!$J$2:$J$1000000, 0)))</f>
        <v>#N/A</v>
      </c>
      <c r="AD88" s="44" t="e">
        <f>INT(INDEX('Dados Consolidados'!$X$2:$X$1000000, MATCH(K88, 'Dados Consolidados'!$K$2:$K$1000000, 0)))</f>
        <v>#N/A</v>
      </c>
      <c r="AE88" s="44" t="e">
        <f>INT(INDEX('Dados Consolidados'!$W$2:$W$1000000, MATCH(P88, 'Dados Consolidados'!$P$2:$P$1000000, 0)))</f>
        <v>#N/A</v>
      </c>
    </row>
    <row r="89" spans="6:31" ht="20.100000000000001" customHeight="1" x14ac:dyDescent="0.25">
      <c r="F89" s="14"/>
      <c r="G89" s="14"/>
      <c r="L89" s="14"/>
      <c r="M89" s="15"/>
      <c r="N89" s="16"/>
      <c r="O89" s="16"/>
      <c r="Y89" s="44" t="e">
        <f>INT(INDEX('Dados Consolidados'!$R$2:$R$1000000, MATCH(A89, 'Dados Consolidados'!$A$2:$A$1000000, 0)))</f>
        <v>#N/A</v>
      </c>
      <c r="Z89" s="44" t="e">
        <f>INT(INDEX('Dados Consolidados'!$S$2:$S$1000000, MATCH(B89, 'Dados Consolidados'!$B$2:$B$1000000, 0)))</f>
        <v>#N/A</v>
      </c>
      <c r="AA89" s="44" t="e">
        <f>INT(INDEX('Dados Consolidados'!$T$2:$T$1000000, MATCH(E89, 'Dados Consolidados'!$E$2:$E$1000000, 0)))</f>
        <v>#N/A</v>
      </c>
      <c r="AB89" s="44" t="e">
        <f>INT(INDEX('Dados Consolidados'!$U$2:$U$1000000, MATCH(H89, 'Dados Consolidados'!$H$2:$H$1000000, 0)))</f>
        <v>#N/A</v>
      </c>
      <c r="AC89" s="44" t="e">
        <f>INT(INDEX('Dados Consolidados'!$V$2:$V$1000000, MATCH(J89, 'Dados Consolidados'!$J$2:$J$1000000, 0)))</f>
        <v>#N/A</v>
      </c>
      <c r="AD89" s="44" t="e">
        <f>INT(INDEX('Dados Consolidados'!$X$2:$X$1000000, MATCH(K89, 'Dados Consolidados'!$K$2:$K$1000000, 0)))</f>
        <v>#N/A</v>
      </c>
      <c r="AE89" s="44" t="e">
        <f>INT(INDEX('Dados Consolidados'!$W$2:$W$1000000, MATCH(P89, 'Dados Consolidados'!$P$2:$P$1000000, 0)))</f>
        <v>#N/A</v>
      </c>
    </row>
    <row r="90" spans="6:31" ht="20.100000000000001" customHeight="1" x14ac:dyDescent="0.25">
      <c r="F90" s="14"/>
      <c r="G90" s="14"/>
      <c r="L90" s="14"/>
      <c r="M90" s="15"/>
      <c r="N90" s="16"/>
      <c r="O90" s="16"/>
      <c r="Y90" s="44" t="e">
        <f>INT(INDEX('Dados Consolidados'!$R$2:$R$1000000, MATCH(A90, 'Dados Consolidados'!$A$2:$A$1000000, 0)))</f>
        <v>#N/A</v>
      </c>
      <c r="Z90" s="44" t="e">
        <f>INT(INDEX('Dados Consolidados'!$S$2:$S$1000000, MATCH(B90, 'Dados Consolidados'!$B$2:$B$1000000, 0)))</f>
        <v>#N/A</v>
      </c>
      <c r="AA90" s="44" t="e">
        <f>INT(INDEX('Dados Consolidados'!$T$2:$T$1000000, MATCH(E90, 'Dados Consolidados'!$E$2:$E$1000000, 0)))</f>
        <v>#N/A</v>
      </c>
      <c r="AB90" s="44" t="e">
        <f>INT(INDEX('Dados Consolidados'!$U$2:$U$1000000, MATCH(H90, 'Dados Consolidados'!$H$2:$H$1000000, 0)))</f>
        <v>#N/A</v>
      </c>
      <c r="AC90" s="44" t="e">
        <f>INT(INDEX('Dados Consolidados'!$V$2:$V$1000000, MATCH(J90, 'Dados Consolidados'!$J$2:$J$1000000, 0)))</f>
        <v>#N/A</v>
      </c>
      <c r="AD90" s="44" t="e">
        <f>INT(INDEX('Dados Consolidados'!$X$2:$X$1000000, MATCH(K90, 'Dados Consolidados'!$K$2:$K$1000000, 0)))</f>
        <v>#N/A</v>
      </c>
      <c r="AE90" s="44" t="e">
        <f>INT(INDEX('Dados Consolidados'!$W$2:$W$1000000, MATCH(P90, 'Dados Consolidados'!$P$2:$P$1000000, 0)))</f>
        <v>#N/A</v>
      </c>
    </row>
    <row r="91" spans="6:31" ht="20.100000000000001" customHeight="1" x14ac:dyDescent="0.25">
      <c r="F91" s="14"/>
      <c r="G91" s="14"/>
      <c r="L91" s="14"/>
      <c r="M91" s="15"/>
      <c r="N91" s="16"/>
      <c r="O91" s="16"/>
      <c r="Y91" s="44" t="e">
        <f>INT(INDEX('Dados Consolidados'!$R$2:$R$1000000, MATCH(A91, 'Dados Consolidados'!$A$2:$A$1000000, 0)))</f>
        <v>#N/A</v>
      </c>
      <c r="Z91" s="44" t="e">
        <f>INT(INDEX('Dados Consolidados'!$S$2:$S$1000000, MATCH(B91, 'Dados Consolidados'!$B$2:$B$1000000, 0)))</f>
        <v>#N/A</v>
      </c>
      <c r="AA91" s="44" t="e">
        <f>INT(INDEX('Dados Consolidados'!$T$2:$T$1000000, MATCH(E91, 'Dados Consolidados'!$E$2:$E$1000000, 0)))</f>
        <v>#N/A</v>
      </c>
      <c r="AB91" s="44" t="e">
        <f>INT(INDEX('Dados Consolidados'!$U$2:$U$1000000, MATCH(H91, 'Dados Consolidados'!$H$2:$H$1000000, 0)))</f>
        <v>#N/A</v>
      </c>
      <c r="AC91" s="44" t="e">
        <f>INT(INDEX('Dados Consolidados'!$V$2:$V$1000000, MATCH(J91, 'Dados Consolidados'!$J$2:$J$1000000, 0)))</f>
        <v>#N/A</v>
      </c>
      <c r="AD91" s="44" t="e">
        <f>INT(INDEX('Dados Consolidados'!$X$2:$X$1000000, MATCH(K91, 'Dados Consolidados'!$K$2:$K$1000000, 0)))</f>
        <v>#N/A</v>
      </c>
      <c r="AE91" s="44" t="e">
        <f>INT(INDEX('Dados Consolidados'!$W$2:$W$1000000, MATCH(P91, 'Dados Consolidados'!$P$2:$P$1000000, 0)))</f>
        <v>#N/A</v>
      </c>
    </row>
    <row r="92" spans="6:31" ht="20.100000000000001" customHeight="1" x14ac:dyDescent="0.25">
      <c r="F92" s="14"/>
      <c r="G92" s="14"/>
      <c r="L92" s="14"/>
      <c r="M92" s="15"/>
      <c r="N92" s="16"/>
      <c r="O92" s="16"/>
      <c r="Y92" s="44" t="e">
        <f>INT(INDEX('Dados Consolidados'!$R$2:$R$1000000, MATCH(A92, 'Dados Consolidados'!$A$2:$A$1000000, 0)))</f>
        <v>#N/A</v>
      </c>
      <c r="Z92" s="44" t="e">
        <f>INT(INDEX('Dados Consolidados'!$S$2:$S$1000000, MATCH(B92, 'Dados Consolidados'!$B$2:$B$1000000, 0)))</f>
        <v>#N/A</v>
      </c>
      <c r="AA92" s="44" t="e">
        <f>INT(INDEX('Dados Consolidados'!$T$2:$T$1000000, MATCH(E92, 'Dados Consolidados'!$E$2:$E$1000000, 0)))</f>
        <v>#N/A</v>
      </c>
      <c r="AB92" s="44" t="e">
        <f>INT(INDEX('Dados Consolidados'!$U$2:$U$1000000, MATCH(H92, 'Dados Consolidados'!$H$2:$H$1000000, 0)))</f>
        <v>#N/A</v>
      </c>
      <c r="AC92" s="44" t="e">
        <f>INT(INDEX('Dados Consolidados'!$V$2:$V$1000000, MATCH(J92, 'Dados Consolidados'!$J$2:$J$1000000, 0)))</f>
        <v>#N/A</v>
      </c>
      <c r="AD92" s="44" t="e">
        <f>INT(INDEX('Dados Consolidados'!$X$2:$X$1000000, MATCH(K92, 'Dados Consolidados'!$K$2:$K$1000000, 0)))</f>
        <v>#N/A</v>
      </c>
      <c r="AE92" s="44" t="e">
        <f>INT(INDEX('Dados Consolidados'!$W$2:$W$1000000, MATCH(P92, 'Dados Consolidados'!$P$2:$P$1000000, 0)))</f>
        <v>#N/A</v>
      </c>
    </row>
    <row r="93" spans="6:31" ht="20.100000000000001" customHeight="1" x14ac:dyDescent="0.25">
      <c r="F93" s="14"/>
      <c r="G93" s="14"/>
      <c r="L93" s="14"/>
      <c r="M93" s="15"/>
      <c r="N93" s="16"/>
      <c r="O93" s="16"/>
      <c r="Y93" s="44" t="e">
        <f>INT(INDEX('Dados Consolidados'!$R$2:$R$1000000, MATCH(A93, 'Dados Consolidados'!$A$2:$A$1000000, 0)))</f>
        <v>#N/A</v>
      </c>
      <c r="Z93" s="44" t="e">
        <f>INT(INDEX('Dados Consolidados'!$S$2:$S$1000000, MATCH(B93, 'Dados Consolidados'!$B$2:$B$1000000, 0)))</f>
        <v>#N/A</v>
      </c>
      <c r="AA93" s="44" t="e">
        <f>INT(INDEX('Dados Consolidados'!$T$2:$T$1000000, MATCH(E93, 'Dados Consolidados'!$E$2:$E$1000000, 0)))</f>
        <v>#N/A</v>
      </c>
      <c r="AB93" s="44" t="e">
        <f>INT(INDEX('Dados Consolidados'!$U$2:$U$1000000, MATCH(H93, 'Dados Consolidados'!$H$2:$H$1000000, 0)))</f>
        <v>#N/A</v>
      </c>
      <c r="AC93" s="44" t="e">
        <f>INT(INDEX('Dados Consolidados'!$V$2:$V$1000000, MATCH(J93, 'Dados Consolidados'!$J$2:$J$1000000, 0)))</f>
        <v>#N/A</v>
      </c>
      <c r="AD93" s="44" t="e">
        <f>INT(INDEX('Dados Consolidados'!$X$2:$X$1000000, MATCH(K93, 'Dados Consolidados'!$K$2:$K$1000000, 0)))</f>
        <v>#N/A</v>
      </c>
      <c r="AE93" s="44" t="e">
        <f>INT(INDEX('Dados Consolidados'!$W$2:$W$1000000, MATCH(P93, 'Dados Consolidados'!$P$2:$P$1000000, 0)))</f>
        <v>#N/A</v>
      </c>
    </row>
    <row r="94" spans="6:31" ht="20.100000000000001" customHeight="1" x14ac:dyDescent="0.25">
      <c r="F94" s="14"/>
      <c r="G94" s="14"/>
      <c r="L94" s="14"/>
      <c r="M94" s="15"/>
      <c r="N94" s="16"/>
      <c r="O94" s="16"/>
      <c r="Y94" s="44" t="e">
        <f>INT(INDEX('Dados Consolidados'!$R$2:$R$1000000, MATCH(A94, 'Dados Consolidados'!$A$2:$A$1000000, 0)))</f>
        <v>#N/A</v>
      </c>
      <c r="Z94" s="44" t="e">
        <f>INT(INDEX('Dados Consolidados'!$S$2:$S$1000000, MATCH(B94, 'Dados Consolidados'!$B$2:$B$1000000, 0)))</f>
        <v>#N/A</v>
      </c>
      <c r="AA94" s="44" t="e">
        <f>INT(INDEX('Dados Consolidados'!$T$2:$T$1000000, MATCH(E94, 'Dados Consolidados'!$E$2:$E$1000000, 0)))</f>
        <v>#N/A</v>
      </c>
      <c r="AB94" s="44" t="e">
        <f>INT(INDEX('Dados Consolidados'!$U$2:$U$1000000, MATCH(H94, 'Dados Consolidados'!$H$2:$H$1000000, 0)))</f>
        <v>#N/A</v>
      </c>
      <c r="AC94" s="44" t="e">
        <f>INT(INDEX('Dados Consolidados'!$V$2:$V$1000000, MATCH(J94, 'Dados Consolidados'!$J$2:$J$1000000, 0)))</f>
        <v>#N/A</v>
      </c>
      <c r="AD94" s="44" t="e">
        <f>INT(INDEX('Dados Consolidados'!$X$2:$X$1000000, MATCH(K94, 'Dados Consolidados'!$K$2:$K$1000000, 0)))</f>
        <v>#N/A</v>
      </c>
      <c r="AE94" s="44" t="e">
        <f>INT(INDEX('Dados Consolidados'!$W$2:$W$1000000, MATCH(P94, 'Dados Consolidados'!$P$2:$P$1000000, 0)))</f>
        <v>#N/A</v>
      </c>
    </row>
    <row r="95" spans="6:31" ht="20.100000000000001" customHeight="1" x14ac:dyDescent="0.25">
      <c r="F95" s="14"/>
      <c r="G95" s="14"/>
      <c r="L95" s="14"/>
      <c r="M95" s="15"/>
      <c r="N95" s="16"/>
      <c r="O95" s="16"/>
      <c r="Y95" s="44" t="e">
        <f>INT(INDEX('Dados Consolidados'!$R$2:$R$1000000, MATCH(A95, 'Dados Consolidados'!$A$2:$A$1000000, 0)))</f>
        <v>#N/A</v>
      </c>
      <c r="Z95" s="44" t="e">
        <f>INT(INDEX('Dados Consolidados'!$S$2:$S$1000000, MATCH(B95, 'Dados Consolidados'!$B$2:$B$1000000, 0)))</f>
        <v>#N/A</v>
      </c>
      <c r="AA95" s="44" t="e">
        <f>INT(INDEX('Dados Consolidados'!$T$2:$T$1000000, MATCH(E95, 'Dados Consolidados'!$E$2:$E$1000000, 0)))</f>
        <v>#N/A</v>
      </c>
      <c r="AB95" s="44" t="e">
        <f>INT(INDEX('Dados Consolidados'!$U$2:$U$1000000, MATCH(H95, 'Dados Consolidados'!$H$2:$H$1000000, 0)))</f>
        <v>#N/A</v>
      </c>
      <c r="AC95" s="44" t="e">
        <f>INT(INDEX('Dados Consolidados'!$V$2:$V$1000000, MATCH(J95, 'Dados Consolidados'!$J$2:$J$1000000, 0)))</f>
        <v>#N/A</v>
      </c>
      <c r="AD95" s="44" t="e">
        <f>INT(INDEX('Dados Consolidados'!$X$2:$X$1000000, MATCH(K95, 'Dados Consolidados'!$K$2:$K$1000000, 0)))</f>
        <v>#N/A</v>
      </c>
      <c r="AE95" s="44" t="e">
        <f>INT(INDEX('Dados Consolidados'!$W$2:$W$1000000, MATCH(P95, 'Dados Consolidados'!$P$2:$P$1000000, 0)))</f>
        <v>#N/A</v>
      </c>
    </row>
    <row r="96" spans="6:31" ht="20.100000000000001" customHeight="1" x14ac:dyDescent="0.25">
      <c r="F96" s="14"/>
      <c r="G96" s="14"/>
      <c r="L96" s="14"/>
      <c r="M96" s="15"/>
      <c r="N96" s="16"/>
      <c r="O96" s="16"/>
      <c r="Y96" s="44" t="e">
        <f>INT(INDEX('Dados Consolidados'!$R$2:$R$1000000, MATCH(A96, 'Dados Consolidados'!$A$2:$A$1000000, 0)))</f>
        <v>#N/A</v>
      </c>
      <c r="Z96" s="44" t="e">
        <f>INT(INDEX('Dados Consolidados'!$S$2:$S$1000000, MATCH(B96, 'Dados Consolidados'!$B$2:$B$1000000, 0)))</f>
        <v>#N/A</v>
      </c>
      <c r="AA96" s="44" t="e">
        <f>INT(INDEX('Dados Consolidados'!$T$2:$T$1000000, MATCH(E96, 'Dados Consolidados'!$E$2:$E$1000000, 0)))</f>
        <v>#N/A</v>
      </c>
      <c r="AB96" s="44" t="e">
        <f>INT(INDEX('Dados Consolidados'!$U$2:$U$1000000, MATCH(H96, 'Dados Consolidados'!$H$2:$H$1000000, 0)))</f>
        <v>#N/A</v>
      </c>
      <c r="AC96" s="44" t="e">
        <f>INT(INDEX('Dados Consolidados'!$V$2:$V$1000000, MATCH(J96, 'Dados Consolidados'!$J$2:$J$1000000, 0)))</f>
        <v>#N/A</v>
      </c>
      <c r="AD96" s="44" t="e">
        <f>INT(INDEX('Dados Consolidados'!$X$2:$X$1000000, MATCH(K96, 'Dados Consolidados'!$K$2:$K$1000000, 0)))</f>
        <v>#N/A</v>
      </c>
      <c r="AE96" s="44" t="e">
        <f>INT(INDEX('Dados Consolidados'!$W$2:$W$1000000, MATCH(P96, 'Dados Consolidados'!$P$2:$P$1000000, 0)))</f>
        <v>#N/A</v>
      </c>
    </row>
    <row r="97" spans="6:31" ht="20.100000000000001" customHeight="1" x14ac:dyDescent="0.25">
      <c r="F97" s="14"/>
      <c r="G97" s="14"/>
      <c r="L97" s="14"/>
      <c r="M97" s="15"/>
      <c r="N97" s="16"/>
      <c r="O97" s="16"/>
      <c r="Y97" s="44" t="e">
        <f>INT(INDEX('Dados Consolidados'!$R$2:$R$1000000, MATCH(A97, 'Dados Consolidados'!$A$2:$A$1000000, 0)))</f>
        <v>#N/A</v>
      </c>
      <c r="Z97" s="44" t="e">
        <f>INT(INDEX('Dados Consolidados'!$S$2:$S$1000000, MATCH(B97, 'Dados Consolidados'!$B$2:$B$1000000, 0)))</f>
        <v>#N/A</v>
      </c>
      <c r="AA97" s="44" t="e">
        <f>INT(INDEX('Dados Consolidados'!$T$2:$T$1000000, MATCH(E97, 'Dados Consolidados'!$E$2:$E$1000000, 0)))</f>
        <v>#N/A</v>
      </c>
      <c r="AB97" s="44" t="e">
        <f>INT(INDEX('Dados Consolidados'!$U$2:$U$1000000, MATCH(H97, 'Dados Consolidados'!$H$2:$H$1000000, 0)))</f>
        <v>#N/A</v>
      </c>
      <c r="AC97" s="44" t="e">
        <f>INT(INDEX('Dados Consolidados'!$V$2:$V$1000000, MATCH(J97, 'Dados Consolidados'!$J$2:$J$1000000, 0)))</f>
        <v>#N/A</v>
      </c>
      <c r="AD97" s="44" t="e">
        <f>INT(INDEX('Dados Consolidados'!$X$2:$X$1000000, MATCH(K97, 'Dados Consolidados'!$K$2:$K$1000000, 0)))</f>
        <v>#N/A</v>
      </c>
      <c r="AE97" s="44" t="e">
        <f>INT(INDEX('Dados Consolidados'!$W$2:$W$1000000, MATCH(P97, 'Dados Consolidados'!$P$2:$P$1000000, 0)))</f>
        <v>#N/A</v>
      </c>
    </row>
    <row r="98" spans="6:31" ht="20.100000000000001" customHeight="1" x14ac:dyDescent="0.25">
      <c r="F98" s="14"/>
      <c r="G98" s="14"/>
      <c r="L98" s="14"/>
      <c r="M98" s="15"/>
      <c r="N98" s="16"/>
      <c r="O98" s="16"/>
      <c r="Y98" s="44" t="e">
        <f>INT(INDEX('Dados Consolidados'!$R$2:$R$1000000, MATCH(A98, 'Dados Consolidados'!$A$2:$A$1000000, 0)))</f>
        <v>#N/A</v>
      </c>
      <c r="Z98" s="44" t="e">
        <f>INT(INDEX('Dados Consolidados'!$S$2:$S$1000000, MATCH(B98, 'Dados Consolidados'!$B$2:$B$1000000, 0)))</f>
        <v>#N/A</v>
      </c>
      <c r="AA98" s="44" t="e">
        <f>INT(INDEX('Dados Consolidados'!$T$2:$T$1000000, MATCH(E98, 'Dados Consolidados'!$E$2:$E$1000000, 0)))</f>
        <v>#N/A</v>
      </c>
      <c r="AB98" s="44" t="e">
        <f>INT(INDEX('Dados Consolidados'!$U$2:$U$1000000, MATCH(H98, 'Dados Consolidados'!$H$2:$H$1000000, 0)))</f>
        <v>#N/A</v>
      </c>
      <c r="AC98" s="44" t="e">
        <f>INT(INDEX('Dados Consolidados'!$V$2:$V$1000000, MATCH(J98, 'Dados Consolidados'!$J$2:$J$1000000, 0)))</f>
        <v>#N/A</v>
      </c>
      <c r="AD98" s="44" t="e">
        <f>INT(INDEX('Dados Consolidados'!$X$2:$X$1000000, MATCH(K98, 'Dados Consolidados'!$K$2:$K$1000000, 0)))</f>
        <v>#N/A</v>
      </c>
      <c r="AE98" s="44" t="e">
        <f>INT(INDEX('Dados Consolidados'!$W$2:$W$1000000, MATCH(P98, 'Dados Consolidados'!$P$2:$P$1000000, 0)))</f>
        <v>#N/A</v>
      </c>
    </row>
    <row r="99" spans="6:31" ht="20.100000000000001" customHeight="1" x14ac:dyDescent="0.25">
      <c r="F99" s="14"/>
      <c r="G99" s="14"/>
      <c r="L99" s="14"/>
      <c r="M99" s="15"/>
      <c r="N99" s="16"/>
      <c r="O99" s="16"/>
      <c r="Y99" s="44" t="e">
        <f>INT(INDEX('Dados Consolidados'!$R$2:$R$1000000, MATCH(A99, 'Dados Consolidados'!$A$2:$A$1000000, 0)))</f>
        <v>#N/A</v>
      </c>
      <c r="Z99" s="44" t="e">
        <f>INT(INDEX('Dados Consolidados'!$S$2:$S$1000000, MATCH(B99, 'Dados Consolidados'!$B$2:$B$1000000, 0)))</f>
        <v>#N/A</v>
      </c>
      <c r="AA99" s="44" t="e">
        <f>INT(INDEX('Dados Consolidados'!$T$2:$T$1000000, MATCH(E99, 'Dados Consolidados'!$E$2:$E$1000000, 0)))</f>
        <v>#N/A</v>
      </c>
      <c r="AB99" s="44" t="e">
        <f>INT(INDEX('Dados Consolidados'!$U$2:$U$1000000, MATCH(H99, 'Dados Consolidados'!$H$2:$H$1000000, 0)))</f>
        <v>#N/A</v>
      </c>
      <c r="AC99" s="44" t="e">
        <f>INT(INDEX('Dados Consolidados'!$V$2:$V$1000000, MATCH(J99, 'Dados Consolidados'!$J$2:$J$1000000, 0)))</f>
        <v>#N/A</v>
      </c>
      <c r="AD99" s="44" t="e">
        <f>INT(INDEX('Dados Consolidados'!$X$2:$X$1000000, MATCH(K99, 'Dados Consolidados'!$K$2:$K$1000000, 0)))</f>
        <v>#N/A</v>
      </c>
      <c r="AE99" s="44" t="e">
        <f>INT(INDEX('Dados Consolidados'!$W$2:$W$1000000, MATCH(P99, 'Dados Consolidados'!$P$2:$P$1000000, 0)))</f>
        <v>#N/A</v>
      </c>
    </row>
    <row r="100" spans="6:31" ht="20.100000000000001" customHeight="1" x14ac:dyDescent="0.25">
      <c r="F100" s="14"/>
      <c r="G100" s="14"/>
      <c r="L100" s="14"/>
      <c r="M100" s="15"/>
      <c r="N100" s="16"/>
      <c r="O100" s="16"/>
      <c r="Y100" s="44" t="e">
        <f>INT(INDEX('Dados Consolidados'!$R$2:$R$1000000, MATCH(A100, 'Dados Consolidados'!$A$2:$A$1000000, 0)))</f>
        <v>#N/A</v>
      </c>
      <c r="Z100" s="44" t="e">
        <f>INT(INDEX('Dados Consolidados'!$S$2:$S$1000000, MATCH(B100, 'Dados Consolidados'!$B$2:$B$1000000, 0)))</f>
        <v>#N/A</v>
      </c>
      <c r="AA100" s="44" t="e">
        <f>INT(INDEX('Dados Consolidados'!$T$2:$T$1000000, MATCH(E100, 'Dados Consolidados'!$E$2:$E$1000000, 0)))</f>
        <v>#N/A</v>
      </c>
      <c r="AB100" s="44" t="e">
        <f>INT(INDEX('Dados Consolidados'!$U$2:$U$1000000, MATCH(H100, 'Dados Consolidados'!$H$2:$H$1000000, 0)))</f>
        <v>#N/A</v>
      </c>
      <c r="AC100" s="44" t="e">
        <f>INT(INDEX('Dados Consolidados'!$V$2:$V$1000000, MATCH(J100, 'Dados Consolidados'!$J$2:$J$1000000, 0)))</f>
        <v>#N/A</v>
      </c>
      <c r="AD100" s="44" t="e">
        <f>INT(INDEX('Dados Consolidados'!$X$2:$X$1000000, MATCH(K100, 'Dados Consolidados'!$K$2:$K$1000000, 0)))</f>
        <v>#N/A</v>
      </c>
      <c r="AE100" s="44" t="e">
        <f>INT(INDEX('Dados Consolidados'!$W$2:$W$1000000, MATCH(P100, 'Dados Consolidados'!$P$2:$P$1000000, 0)))</f>
        <v>#N/A</v>
      </c>
    </row>
    <row r="101" spans="6:31" ht="20.100000000000001" customHeight="1" x14ac:dyDescent="0.25">
      <c r="F101" s="14"/>
      <c r="G101" s="14"/>
      <c r="L101" s="14"/>
      <c r="M101" s="15"/>
      <c r="N101" s="16"/>
      <c r="O101" s="16"/>
      <c r="Y101" s="44" t="e">
        <f>INT(INDEX('Dados Consolidados'!$R$2:$R$1000000, MATCH(A101, 'Dados Consolidados'!$A$2:$A$1000000, 0)))</f>
        <v>#N/A</v>
      </c>
      <c r="Z101" s="44" t="e">
        <f>INT(INDEX('Dados Consolidados'!$S$2:$S$1000000, MATCH(B101, 'Dados Consolidados'!$B$2:$B$1000000, 0)))</f>
        <v>#N/A</v>
      </c>
      <c r="AA101" s="44" t="e">
        <f>INT(INDEX('Dados Consolidados'!$T$2:$T$1000000, MATCH(E101, 'Dados Consolidados'!$E$2:$E$1000000, 0)))</f>
        <v>#N/A</v>
      </c>
      <c r="AB101" s="44" t="e">
        <f>INT(INDEX('Dados Consolidados'!$U$2:$U$1000000, MATCH(H101, 'Dados Consolidados'!$H$2:$H$1000000, 0)))</f>
        <v>#N/A</v>
      </c>
      <c r="AC101" s="44" t="e">
        <f>INT(INDEX('Dados Consolidados'!$V$2:$V$1000000, MATCH(J101, 'Dados Consolidados'!$J$2:$J$1000000, 0)))</f>
        <v>#N/A</v>
      </c>
      <c r="AD101" s="44" t="e">
        <f>INT(INDEX('Dados Consolidados'!$X$2:$X$1000000, MATCH(K101, 'Dados Consolidados'!$K$2:$K$1000000, 0)))</f>
        <v>#N/A</v>
      </c>
      <c r="AE101" s="44" t="e">
        <f>INT(INDEX('Dados Consolidados'!$W$2:$W$1000000, MATCH(P101, 'Dados Consolidados'!$P$2:$P$1000000, 0)))</f>
        <v>#N/A</v>
      </c>
    </row>
    <row r="102" spans="6:31" ht="20.100000000000001" customHeight="1" x14ac:dyDescent="0.25">
      <c r="F102" s="14"/>
      <c r="G102" s="14"/>
      <c r="L102" s="14"/>
      <c r="M102" s="15"/>
      <c r="N102" s="16"/>
      <c r="O102" s="16"/>
      <c r="Y102" s="44" t="e">
        <f>INT(INDEX('Dados Consolidados'!$R$2:$R$1000000, MATCH(A102, 'Dados Consolidados'!$A$2:$A$1000000, 0)))</f>
        <v>#N/A</v>
      </c>
      <c r="Z102" s="44" t="e">
        <f>INT(INDEX('Dados Consolidados'!$S$2:$S$1000000, MATCH(B102, 'Dados Consolidados'!$B$2:$B$1000000, 0)))</f>
        <v>#N/A</v>
      </c>
      <c r="AA102" s="44" t="e">
        <f>INT(INDEX('Dados Consolidados'!$T$2:$T$1000000, MATCH(E102, 'Dados Consolidados'!$E$2:$E$1000000, 0)))</f>
        <v>#N/A</v>
      </c>
      <c r="AB102" s="44" t="e">
        <f>INT(INDEX('Dados Consolidados'!$U$2:$U$1000000, MATCH(H102, 'Dados Consolidados'!$H$2:$H$1000000, 0)))</f>
        <v>#N/A</v>
      </c>
      <c r="AC102" s="44" t="e">
        <f>INT(INDEX('Dados Consolidados'!$V$2:$V$1000000, MATCH(J102, 'Dados Consolidados'!$J$2:$J$1000000, 0)))</f>
        <v>#N/A</v>
      </c>
      <c r="AD102" s="44" t="e">
        <f>INT(INDEX('Dados Consolidados'!$X$2:$X$1000000, MATCH(K102, 'Dados Consolidados'!$K$2:$K$1000000, 0)))</f>
        <v>#N/A</v>
      </c>
      <c r="AE102" s="44" t="e">
        <f>INT(INDEX('Dados Consolidados'!$W$2:$W$1000000, MATCH(P102, 'Dados Consolidados'!$P$2:$P$1000000, 0)))</f>
        <v>#N/A</v>
      </c>
    </row>
    <row r="103" spans="6:31" ht="20.100000000000001" customHeight="1" x14ac:dyDescent="0.25">
      <c r="F103" s="14"/>
      <c r="G103" s="14"/>
      <c r="L103" s="14"/>
      <c r="M103" s="15"/>
      <c r="N103" s="16"/>
      <c r="O103" s="16"/>
      <c r="Y103" s="44" t="e">
        <f>INT(INDEX('Dados Consolidados'!$R$2:$R$1000000, MATCH(A103, 'Dados Consolidados'!$A$2:$A$1000000, 0)))</f>
        <v>#N/A</v>
      </c>
      <c r="Z103" s="44" t="e">
        <f>INT(INDEX('Dados Consolidados'!$S$2:$S$1000000, MATCH(B103, 'Dados Consolidados'!$B$2:$B$1000000, 0)))</f>
        <v>#N/A</v>
      </c>
      <c r="AA103" s="44" t="e">
        <f>INT(INDEX('Dados Consolidados'!$T$2:$T$1000000, MATCH(E103, 'Dados Consolidados'!$E$2:$E$1000000, 0)))</f>
        <v>#N/A</v>
      </c>
      <c r="AB103" s="44" t="e">
        <f>INT(INDEX('Dados Consolidados'!$U$2:$U$1000000, MATCH(H103, 'Dados Consolidados'!$H$2:$H$1000000, 0)))</f>
        <v>#N/A</v>
      </c>
      <c r="AC103" s="44" t="e">
        <f>INT(INDEX('Dados Consolidados'!$V$2:$V$1000000, MATCH(J103, 'Dados Consolidados'!$J$2:$J$1000000, 0)))</f>
        <v>#N/A</v>
      </c>
      <c r="AD103" s="44" t="e">
        <f>INT(INDEX('Dados Consolidados'!$X$2:$X$1000000, MATCH(K103, 'Dados Consolidados'!$K$2:$K$1000000, 0)))</f>
        <v>#N/A</v>
      </c>
      <c r="AE103" s="44" t="e">
        <f>INT(INDEX('Dados Consolidados'!$W$2:$W$1000000, MATCH(P103, 'Dados Consolidados'!$P$2:$P$1000000, 0)))</f>
        <v>#N/A</v>
      </c>
    </row>
    <row r="104" spans="6:31" ht="20.100000000000001" customHeight="1" x14ac:dyDescent="0.25">
      <c r="F104" s="14"/>
      <c r="G104" s="14"/>
      <c r="L104" s="14"/>
      <c r="M104" s="15"/>
      <c r="N104" s="16"/>
      <c r="O104" s="16"/>
      <c r="Y104" s="44" t="e">
        <f>INT(INDEX('Dados Consolidados'!$R$2:$R$1000000, MATCH(A104, 'Dados Consolidados'!$A$2:$A$1000000, 0)))</f>
        <v>#N/A</v>
      </c>
      <c r="Z104" s="44" t="e">
        <f>INT(INDEX('Dados Consolidados'!$S$2:$S$1000000, MATCH(B104, 'Dados Consolidados'!$B$2:$B$1000000, 0)))</f>
        <v>#N/A</v>
      </c>
      <c r="AA104" s="44" t="e">
        <f>INT(INDEX('Dados Consolidados'!$T$2:$T$1000000, MATCH(E104, 'Dados Consolidados'!$E$2:$E$1000000, 0)))</f>
        <v>#N/A</v>
      </c>
      <c r="AB104" s="44" t="e">
        <f>INT(INDEX('Dados Consolidados'!$U$2:$U$1000000, MATCH(H104, 'Dados Consolidados'!$H$2:$H$1000000, 0)))</f>
        <v>#N/A</v>
      </c>
      <c r="AC104" s="44" t="e">
        <f>INT(INDEX('Dados Consolidados'!$V$2:$V$1000000, MATCH(J104, 'Dados Consolidados'!$J$2:$J$1000000, 0)))</f>
        <v>#N/A</v>
      </c>
      <c r="AD104" s="44" t="e">
        <f>INT(INDEX('Dados Consolidados'!$X$2:$X$1000000, MATCH(K104, 'Dados Consolidados'!$K$2:$K$1000000, 0)))</f>
        <v>#N/A</v>
      </c>
      <c r="AE104" s="44" t="e">
        <f>INT(INDEX('Dados Consolidados'!$W$2:$W$1000000, MATCH(P104, 'Dados Consolidados'!$P$2:$P$1000000, 0)))</f>
        <v>#N/A</v>
      </c>
    </row>
    <row r="105" spans="6:31" ht="20.100000000000001" customHeight="1" x14ac:dyDescent="0.25">
      <c r="F105" s="14"/>
      <c r="G105" s="14"/>
      <c r="L105" s="14"/>
      <c r="M105" s="15"/>
      <c r="N105" s="16"/>
      <c r="O105" s="16"/>
      <c r="Y105" s="44" t="e">
        <f>INT(INDEX('Dados Consolidados'!$R$2:$R$1000000, MATCH(A105, 'Dados Consolidados'!$A$2:$A$1000000, 0)))</f>
        <v>#N/A</v>
      </c>
      <c r="Z105" s="44" t="e">
        <f>INT(INDEX('Dados Consolidados'!$S$2:$S$1000000, MATCH(B105, 'Dados Consolidados'!$B$2:$B$1000000, 0)))</f>
        <v>#N/A</v>
      </c>
      <c r="AA105" s="44" t="e">
        <f>INT(INDEX('Dados Consolidados'!$T$2:$T$1000000, MATCH(E105, 'Dados Consolidados'!$E$2:$E$1000000, 0)))</f>
        <v>#N/A</v>
      </c>
      <c r="AB105" s="44" t="e">
        <f>INT(INDEX('Dados Consolidados'!$U$2:$U$1000000, MATCH(H105, 'Dados Consolidados'!$H$2:$H$1000000, 0)))</f>
        <v>#N/A</v>
      </c>
      <c r="AC105" s="44" t="e">
        <f>INT(INDEX('Dados Consolidados'!$V$2:$V$1000000, MATCH(J105, 'Dados Consolidados'!$J$2:$J$1000000, 0)))</f>
        <v>#N/A</v>
      </c>
      <c r="AD105" s="44" t="e">
        <f>INT(INDEX('Dados Consolidados'!$X$2:$X$1000000, MATCH(K105, 'Dados Consolidados'!$K$2:$K$1000000, 0)))</f>
        <v>#N/A</v>
      </c>
      <c r="AE105" s="44" t="e">
        <f>INT(INDEX('Dados Consolidados'!$W$2:$W$1000000, MATCH(P105, 'Dados Consolidados'!$P$2:$P$1000000, 0)))</f>
        <v>#N/A</v>
      </c>
    </row>
    <row r="106" spans="6:31" ht="20.100000000000001" customHeight="1" x14ac:dyDescent="0.25">
      <c r="F106" s="14"/>
      <c r="G106" s="14"/>
      <c r="L106" s="14"/>
      <c r="M106" s="15"/>
      <c r="N106" s="16"/>
      <c r="O106" s="16"/>
      <c r="Y106" s="44" t="e">
        <f>INT(INDEX('Dados Consolidados'!$R$2:$R$1000000, MATCH(A106, 'Dados Consolidados'!$A$2:$A$1000000, 0)))</f>
        <v>#N/A</v>
      </c>
      <c r="Z106" s="44" t="e">
        <f>INT(INDEX('Dados Consolidados'!$S$2:$S$1000000, MATCH(B106, 'Dados Consolidados'!$B$2:$B$1000000, 0)))</f>
        <v>#N/A</v>
      </c>
      <c r="AA106" s="44" t="e">
        <f>INT(INDEX('Dados Consolidados'!$T$2:$T$1000000, MATCH(E106, 'Dados Consolidados'!$E$2:$E$1000000, 0)))</f>
        <v>#N/A</v>
      </c>
      <c r="AB106" s="44" t="e">
        <f>INT(INDEX('Dados Consolidados'!$U$2:$U$1000000, MATCH(H106, 'Dados Consolidados'!$H$2:$H$1000000, 0)))</f>
        <v>#N/A</v>
      </c>
      <c r="AC106" s="44" t="e">
        <f>INT(INDEX('Dados Consolidados'!$V$2:$V$1000000, MATCH(J106, 'Dados Consolidados'!$J$2:$J$1000000, 0)))</f>
        <v>#N/A</v>
      </c>
      <c r="AD106" s="44" t="e">
        <f>INT(INDEX('Dados Consolidados'!$X$2:$X$1000000, MATCH(K106, 'Dados Consolidados'!$K$2:$K$1000000, 0)))</f>
        <v>#N/A</v>
      </c>
      <c r="AE106" s="44" t="e">
        <f>INT(INDEX('Dados Consolidados'!$W$2:$W$1000000, MATCH(P106, 'Dados Consolidados'!$P$2:$P$1000000, 0)))</f>
        <v>#N/A</v>
      </c>
    </row>
    <row r="107" spans="6:31" ht="20.100000000000001" customHeight="1" x14ac:dyDescent="0.25">
      <c r="F107" s="14"/>
      <c r="G107" s="14"/>
      <c r="L107" s="14"/>
      <c r="M107" s="15"/>
      <c r="N107" s="16"/>
      <c r="O107" s="16"/>
      <c r="Y107" s="44" t="e">
        <f>INT(INDEX('Dados Consolidados'!$R$2:$R$1000000, MATCH(A107, 'Dados Consolidados'!$A$2:$A$1000000, 0)))</f>
        <v>#N/A</v>
      </c>
      <c r="Z107" s="44" t="e">
        <f>INT(INDEX('Dados Consolidados'!$S$2:$S$1000000, MATCH(B107, 'Dados Consolidados'!$B$2:$B$1000000, 0)))</f>
        <v>#N/A</v>
      </c>
      <c r="AA107" s="44" t="e">
        <f>INT(INDEX('Dados Consolidados'!$T$2:$T$1000000, MATCH(E107, 'Dados Consolidados'!$E$2:$E$1000000, 0)))</f>
        <v>#N/A</v>
      </c>
      <c r="AB107" s="44" t="e">
        <f>INT(INDEX('Dados Consolidados'!$U$2:$U$1000000, MATCH(H107, 'Dados Consolidados'!$H$2:$H$1000000, 0)))</f>
        <v>#N/A</v>
      </c>
      <c r="AC107" s="44" t="e">
        <f>INT(INDEX('Dados Consolidados'!$V$2:$V$1000000, MATCH(J107, 'Dados Consolidados'!$J$2:$J$1000000, 0)))</f>
        <v>#N/A</v>
      </c>
      <c r="AD107" s="44" t="e">
        <f>INT(INDEX('Dados Consolidados'!$X$2:$X$1000000, MATCH(K107, 'Dados Consolidados'!$K$2:$K$1000000, 0)))</f>
        <v>#N/A</v>
      </c>
      <c r="AE107" s="44" t="e">
        <f>INT(INDEX('Dados Consolidados'!$W$2:$W$1000000, MATCH(P107, 'Dados Consolidados'!$P$2:$P$1000000, 0)))</f>
        <v>#N/A</v>
      </c>
    </row>
    <row r="108" spans="6:31" ht="20.100000000000001" customHeight="1" x14ac:dyDescent="0.25">
      <c r="F108" s="14"/>
      <c r="G108" s="14"/>
      <c r="L108" s="14"/>
      <c r="M108" s="15"/>
      <c r="N108" s="16"/>
      <c r="O108" s="16"/>
      <c r="Y108" s="44" t="e">
        <f>INT(INDEX('Dados Consolidados'!$R$2:$R$1000000, MATCH(A108, 'Dados Consolidados'!$A$2:$A$1000000, 0)))</f>
        <v>#N/A</v>
      </c>
      <c r="Z108" s="44" t="e">
        <f>INT(INDEX('Dados Consolidados'!$S$2:$S$1000000, MATCH(B108, 'Dados Consolidados'!$B$2:$B$1000000, 0)))</f>
        <v>#N/A</v>
      </c>
      <c r="AA108" s="44" t="e">
        <f>INT(INDEX('Dados Consolidados'!$T$2:$T$1000000, MATCH(E108, 'Dados Consolidados'!$E$2:$E$1000000, 0)))</f>
        <v>#N/A</v>
      </c>
      <c r="AB108" s="44" t="e">
        <f>INT(INDEX('Dados Consolidados'!$U$2:$U$1000000, MATCH(H108, 'Dados Consolidados'!$H$2:$H$1000000, 0)))</f>
        <v>#N/A</v>
      </c>
      <c r="AC108" s="44" t="e">
        <f>INT(INDEX('Dados Consolidados'!$V$2:$V$1000000, MATCH(J108, 'Dados Consolidados'!$J$2:$J$1000000, 0)))</f>
        <v>#N/A</v>
      </c>
      <c r="AD108" s="44" t="e">
        <f>INT(INDEX('Dados Consolidados'!$X$2:$X$1000000, MATCH(K108, 'Dados Consolidados'!$K$2:$K$1000000, 0)))</f>
        <v>#N/A</v>
      </c>
      <c r="AE108" s="44" t="e">
        <f>INT(INDEX('Dados Consolidados'!$W$2:$W$1000000, MATCH(P108, 'Dados Consolidados'!$P$2:$P$1000000, 0)))</f>
        <v>#N/A</v>
      </c>
    </row>
    <row r="109" spans="6:31" ht="20.100000000000001" customHeight="1" x14ac:dyDescent="0.25">
      <c r="F109" s="14"/>
      <c r="G109" s="14"/>
      <c r="L109" s="14"/>
      <c r="M109" s="15"/>
      <c r="N109" s="16"/>
      <c r="O109" s="16"/>
      <c r="Y109" s="44" t="e">
        <f>INT(INDEX('Dados Consolidados'!$R$2:$R$1000000, MATCH(A109, 'Dados Consolidados'!$A$2:$A$1000000, 0)))</f>
        <v>#N/A</v>
      </c>
      <c r="Z109" s="44" t="e">
        <f>INT(INDEX('Dados Consolidados'!$S$2:$S$1000000, MATCH(B109, 'Dados Consolidados'!$B$2:$B$1000000, 0)))</f>
        <v>#N/A</v>
      </c>
      <c r="AA109" s="44" t="e">
        <f>INT(INDEX('Dados Consolidados'!$T$2:$T$1000000, MATCH(E109, 'Dados Consolidados'!$E$2:$E$1000000, 0)))</f>
        <v>#N/A</v>
      </c>
      <c r="AB109" s="44" t="e">
        <f>INT(INDEX('Dados Consolidados'!$U$2:$U$1000000, MATCH(H109, 'Dados Consolidados'!$H$2:$H$1000000, 0)))</f>
        <v>#N/A</v>
      </c>
      <c r="AC109" s="44" t="e">
        <f>INT(INDEX('Dados Consolidados'!$V$2:$V$1000000, MATCH(J109, 'Dados Consolidados'!$J$2:$J$1000000, 0)))</f>
        <v>#N/A</v>
      </c>
      <c r="AD109" s="44" t="e">
        <f>INT(INDEX('Dados Consolidados'!$X$2:$X$1000000, MATCH(K109, 'Dados Consolidados'!$K$2:$K$1000000, 0)))</f>
        <v>#N/A</v>
      </c>
      <c r="AE109" s="44" t="e">
        <f>INT(INDEX('Dados Consolidados'!$W$2:$W$1000000, MATCH(P109, 'Dados Consolidados'!$P$2:$P$1000000, 0)))</f>
        <v>#N/A</v>
      </c>
    </row>
    <row r="110" spans="6:31" ht="20.100000000000001" customHeight="1" x14ac:dyDescent="0.25">
      <c r="F110" s="14"/>
      <c r="G110" s="14"/>
      <c r="L110" s="14"/>
      <c r="M110" s="15"/>
      <c r="N110" s="16"/>
      <c r="O110" s="16"/>
      <c r="Y110" s="44" t="e">
        <f>INT(INDEX('Dados Consolidados'!$R$2:$R$1000000, MATCH(A110, 'Dados Consolidados'!$A$2:$A$1000000, 0)))</f>
        <v>#N/A</v>
      </c>
      <c r="Z110" s="44" t="e">
        <f>INT(INDEX('Dados Consolidados'!$S$2:$S$1000000, MATCH(B110, 'Dados Consolidados'!$B$2:$B$1000000, 0)))</f>
        <v>#N/A</v>
      </c>
      <c r="AA110" s="44" t="e">
        <f>INT(INDEX('Dados Consolidados'!$T$2:$T$1000000, MATCH(E110, 'Dados Consolidados'!$E$2:$E$1000000, 0)))</f>
        <v>#N/A</v>
      </c>
      <c r="AB110" s="44" t="e">
        <f>INT(INDEX('Dados Consolidados'!$U$2:$U$1000000, MATCH(H110, 'Dados Consolidados'!$H$2:$H$1000000, 0)))</f>
        <v>#N/A</v>
      </c>
      <c r="AC110" s="44" t="e">
        <f>INT(INDEX('Dados Consolidados'!$V$2:$V$1000000, MATCH(J110, 'Dados Consolidados'!$J$2:$J$1000000, 0)))</f>
        <v>#N/A</v>
      </c>
      <c r="AD110" s="44" t="e">
        <f>INT(INDEX('Dados Consolidados'!$X$2:$X$1000000, MATCH(K110, 'Dados Consolidados'!$K$2:$K$1000000, 0)))</f>
        <v>#N/A</v>
      </c>
      <c r="AE110" s="44" t="e">
        <f>INT(INDEX('Dados Consolidados'!$W$2:$W$1000000, MATCH(P110, 'Dados Consolidados'!$P$2:$P$1000000, 0)))</f>
        <v>#N/A</v>
      </c>
    </row>
    <row r="111" spans="6:31" ht="20.100000000000001" customHeight="1" x14ac:dyDescent="0.25">
      <c r="F111" s="14"/>
      <c r="G111" s="14"/>
      <c r="L111" s="14"/>
      <c r="M111" s="15"/>
      <c r="N111" s="16"/>
      <c r="O111" s="16"/>
      <c r="Y111" s="44" t="e">
        <f>INT(INDEX('Dados Consolidados'!$R$2:$R$1000000, MATCH(A111, 'Dados Consolidados'!$A$2:$A$1000000, 0)))</f>
        <v>#N/A</v>
      </c>
      <c r="Z111" s="44" t="e">
        <f>INT(INDEX('Dados Consolidados'!$S$2:$S$1000000, MATCH(B111, 'Dados Consolidados'!$B$2:$B$1000000, 0)))</f>
        <v>#N/A</v>
      </c>
      <c r="AA111" s="44" t="e">
        <f>INT(INDEX('Dados Consolidados'!$T$2:$T$1000000, MATCH(E111, 'Dados Consolidados'!$E$2:$E$1000000, 0)))</f>
        <v>#N/A</v>
      </c>
      <c r="AB111" s="44" t="e">
        <f>INT(INDEX('Dados Consolidados'!$U$2:$U$1000000, MATCH(H111, 'Dados Consolidados'!$H$2:$H$1000000, 0)))</f>
        <v>#N/A</v>
      </c>
      <c r="AC111" s="44" t="e">
        <f>INT(INDEX('Dados Consolidados'!$V$2:$V$1000000, MATCH(J111, 'Dados Consolidados'!$J$2:$J$1000000, 0)))</f>
        <v>#N/A</v>
      </c>
      <c r="AD111" s="44" t="e">
        <f>INT(INDEX('Dados Consolidados'!$X$2:$X$1000000, MATCH(K111, 'Dados Consolidados'!$K$2:$K$1000000, 0)))</f>
        <v>#N/A</v>
      </c>
      <c r="AE111" s="44" t="e">
        <f>INT(INDEX('Dados Consolidados'!$W$2:$W$1000000, MATCH(P111, 'Dados Consolidados'!$P$2:$P$1000000, 0)))</f>
        <v>#N/A</v>
      </c>
    </row>
    <row r="112" spans="6:31" ht="20.100000000000001" customHeight="1" x14ac:dyDescent="0.25">
      <c r="F112" s="14"/>
      <c r="G112" s="14"/>
      <c r="L112" s="14"/>
      <c r="M112" s="15"/>
      <c r="N112" s="16"/>
      <c r="O112" s="16"/>
      <c r="Y112" s="44" t="e">
        <f>INT(INDEX('Dados Consolidados'!$R$2:$R$1000000, MATCH(A112, 'Dados Consolidados'!$A$2:$A$1000000, 0)))</f>
        <v>#N/A</v>
      </c>
      <c r="Z112" s="44" t="e">
        <f>INT(INDEX('Dados Consolidados'!$S$2:$S$1000000, MATCH(B112, 'Dados Consolidados'!$B$2:$B$1000000, 0)))</f>
        <v>#N/A</v>
      </c>
      <c r="AA112" s="44" t="e">
        <f>INT(INDEX('Dados Consolidados'!$T$2:$T$1000000, MATCH(E112, 'Dados Consolidados'!$E$2:$E$1000000, 0)))</f>
        <v>#N/A</v>
      </c>
      <c r="AB112" s="44" t="e">
        <f>INT(INDEX('Dados Consolidados'!$U$2:$U$1000000, MATCH(H112, 'Dados Consolidados'!$H$2:$H$1000000, 0)))</f>
        <v>#N/A</v>
      </c>
      <c r="AC112" s="44" t="e">
        <f>INT(INDEX('Dados Consolidados'!$V$2:$V$1000000, MATCH(J112, 'Dados Consolidados'!$J$2:$J$1000000, 0)))</f>
        <v>#N/A</v>
      </c>
      <c r="AD112" s="44" t="e">
        <f>INT(INDEX('Dados Consolidados'!$X$2:$X$1000000, MATCH(K112, 'Dados Consolidados'!$K$2:$K$1000000, 0)))</f>
        <v>#N/A</v>
      </c>
      <c r="AE112" s="44" t="e">
        <f>INT(INDEX('Dados Consolidados'!$W$2:$W$1000000, MATCH(P112, 'Dados Consolidados'!$P$2:$P$1000000, 0)))</f>
        <v>#N/A</v>
      </c>
    </row>
    <row r="113" spans="6:31" ht="20.100000000000001" customHeight="1" x14ac:dyDescent="0.25">
      <c r="F113" s="14"/>
      <c r="G113" s="14"/>
      <c r="L113" s="14"/>
      <c r="M113" s="15"/>
      <c r="N113" s="16"/>
      <c r="O113" s="16"/>
      <c r="Y113" s="44" t="e">
        <f>INT(INDEX('Dados Consolidados'!$R$2:$R$1000000, MATCH(A113, 'Dados Consolidados'!$A$2:$A$1000000, 0)))</f>
        <v>#N/A</v>
      </c>
      <c r="Z113" s="44" t="e">
        <f>INT(INDEX('Dados Consolidados'!$S$2:$S$1000000, MATCH(B113, 'Dados Consolidados'!$B$2:$B$1000000, 0)))</f>
        <v>#N/A</v>
      </c>
      <c r="AA113" s="44" t="e">
        <f>INT(INDEX('Dados Consolidados'!$T$2:$T$1000000, MATCH(E113, 'Dados Consolidados'!$E$2:$E$1000000, 0)))</f>
        <v>#N/A</v>
      </c>
      <c r="AB113" s="44" t="e">
        <f>INT(INDEX('Dados Consolidados'!$U$2:$U$1000000, MATCH(H113, 'Dados Consolidados'!$H$2:$H$1000000, 0)))</f>
        <v>#N/A</v>
      </c>
      <c r="AC113" s="44" t="e">
        <f>INT(INDEX('Dados Consolidados'!$V$2:$V$1000000, MATCH(J113, 'Dados Consolidados'!$J$2:$J$1000000, 0)))</f>
        <v>#N/A</v>
      </c>
      <c r="AD113" s="44" t="e">
        <f>INT(INDEX('Dados Consolidados'!$X$2:$X$1000000, MATCH(K113, 'Dados Consolidados'!$K$2:$K$1000000, 0)))</f>
        <v>#N/A</v>
      </c>
      <c r="AE113" s="44" t="e">
        <f>INT(INDEX('Dados Consolidados'!$W$2:$W$1000000, MATCH(P113, 'Dados Consolidados'!$P$2:$P$1000000, 0)))</f>
        <v>#N/A</v>
      </c>
    </row>
    <row r="114" spans="6:31" ht="20.100000000000001" customHeight="1" x14ac:dyDescent="0.25">
      <c r="F114" s="14"/>
      <c r="G114" s="14"/>
      <c r="L114" s="14"/>
      <c r="M114" s="15"/>
      <c r="N114" s="16"/>
      <c r="O114" s="16"/>
      <c r="Y114" s="44" t="e">
        <f>INT(INDEX('Dados Consolidados'!$R$2:$R$1000000, MATCH(A114, 'Dados Consolidados'!$A$2:$A$1000000, 0)))</f>
        <v>#N/A</v>
      </c>
      <c r="Z114" s="44" t="e">
        <f>INT(INDEX('Dados Consolidados'!$S$2:$S$1000000, MATCH(B114, 'Dados Consolidados'!$B$2:$B$1000000, 0)))</f>
        <v>#N/A</v>
      </c>
      <c r="AA114" s="44" t="e">
        <f>INT(INDEX('Dados Consolidados'!$T$2:$T$1000000, MATCH(E114, 'Dados Consolidados'!$E$2:$E$1000000, 0)))</f>
        <v>#N/A</v>
      </c>
      <c r="AB114" s="44" t="e">
        <f>INT(INDEX('Dados Consolidados'!$U$2:$U$1000000, MATCH(H114, 'Dados Consolidados'!$H$2:$H$1000000, 0)))</f>
        <v>#N/A</v>
      </c>
      <c r="AC114" s="44" t="e">
        <f>INT(INDEX('Dados Consolidados'!$V$2:$V$1000000, MATCH(J114, 'Dados Consolidados'!$J$2:$J$1000000, 0)))</f>
        <v>#N/A</v>
      </c>
      <c r="AD114" s="44" t="e">
        <f>INT(INDEX('Dados Consolidados'!$X$2:$X$1000000, MATCH(K114, 'Dados Consolidados'!$K$2:$K$1000000, 0)))</f>
        <v>#N/A</v>
      </c>
      <c r="AE114" s="44" t="e">
        <f>INT(INDEX('Dados Consolidados'!$W$2:$W$1000000, MATCH(P114, 'Dados Consolidados'!$P$2:$P$1000000, 0)))</f>
        <v>#N/A</v>
      </c>
    </row>
    <row r="115" spans="6:31" ht="20.100000000000001" customHeight="1" x14ac:dyDescent="0.25">
      <c r="F115" s="14"/>
      <c r="G115" s="14"/>
      <c r="L115" s="14"/>
      <c r="M115" s="15"/>
      <c r="N115" s="16"/>
      <c r="O115" s="16"/>
      <c r="Y115" s="44" t="e">
        <f>INT(INDEX('Dados Consolidados'!$R$2:$R$1000000, MATCH(A115, 'Dados Consolidados'!$A$2:$A$1000000, 0)))</f>
        <v>#N/A</v>
      </c>
      <c r="Z115" s="44" t="e">
        <f>INT(INDEX('Dados Consolidados'!$S$2:$S$1000000, MATCH(B115, 'Dados Consolidados'!$B$2:$B$1000000, 0)))</f>
        <v>#N/A</v>
      </c>
      <c r="AA115" s="44" t="e">
        <f>INT(INDEX('Dados Consolidados'!$T$2:$T$1000000, MATCH(E115, 'Dados Consolidados'!$E$2:$E$1000000, 0)))</f>
        <v>#N/A</v>
      </c>
      <c r="AB115" s="44" t="e">
        <f>INT(INDEX('Dados Consolidados'!$U$2:$U$1000000, MATCH(H115, 'Dados Consolidados'!$H$2:$H$1000000, 0)))</f>
        <v>#N/A</v>
      </c>
      <c r="AC115" s="44" t="e">
        <f>INT(INDEX('Dados Consolidados'!$V$2:$V$1000000, MATCH(J115, 'Dados Consolidados'!$J$2:$J$1000000, 0)))</f>
        <v>#N/A</v>
      </c>
      <c r="AD115" s="44" t="e">
        <f>INT(INDEX('Dados Consolidados'!$X$2:$X$1000000, MATCH(K115, 'Dados Consolidados'!$K$2:$K$1000000, 0)))</f>
        <v>#N/A</v>
      </c>
      <c r="AE115" s="44" t="e">
        <f>INT(INDEX('Dados Consolidados'!$W$2:$W$1000000, MATCH(P115, 'Dados Consolidados'!$P$2:$P$1000000, 0)))</f>
        <v>#N/A</v>
      </c>
    </row>
    <row r="116" spans="6:31" ht="20.100000000000001" customHeight="1" x14ac:dyDescent="0.25">
      <c r="F116" s="14"/>
      <c r="G116" s="14"/>
      <c r="L116" s="14"/>
      <c r="M116" s="15"/>
      <c r="N116" s="16"/>
      <c r="O116" s="16"/>
      <c r="Y116" s="44" t="e">
        <f>INT(INDEX('Dados Consolidados'!$R$2:$R$1000000, MATCH(A116, 'Dados Consolidados'!$A$2:$A$1000000, 0)))</f>
        <v>#N/A</v>
      </c>
      <c r="Z116" s="44" t="e">
        <f>INT(INDEX('Dados Consolidados'!$S$2:$S$1000000, MATCH(B116, 'Dados Consolidados'!$B$2:$B$1000000, 0)))</f>
        <v>#N/A</v>
      </c>
      <c r="AA116" s="44" t="e">
        <f>INT(INDEX('Dados Consolidados'!$T$2:$T$1000000, MATCH(E116, 'Dados Consolidados'!$E$2:$E$1000000, 0)))</f>
        <v>#N/A</v>
      </c>
      <c r="AB116" s="44" t="e">
        <f>INT(INDEX('Dados Consolidados'!$U$2:$U$1000000, MATCH(H116, 'Dados Consolidados'!$H$2:$H$1000000, 0)))</f>
        <v>#N/A</v>
      </c>
      <c r="AC116" s="44" t="e">
        <f>INT(INDEX('Dados Consolidados'!$V$2:$V$1000000, MATCH(J116, 'Dados Consolidados'!$J$2:$J$1000000, 0)))</f>
        <v>#N/A</v>
      </c>
      <c r="AD116" s="44" t="e">
        <f>INT(INDEX('Dados Consolidados'!$X$2:$X$1000000, MATCH(K116, 'Dados Consolidados'!$K$2:$K$1000000, 0)))</f>
        <v>#N/A</v>
      </c>
      <c r="AE116" s="44" t="e">
        <f>INT(INDEX('Dados Consolidados'!$W$2:$W$1000000, MATCH(P116, 'Dados Consolidados'!$P$2:$P$1000000, 0)))</f>
        <v>#N/A</v>
      </c>
    </row>
    <row r="117" spans="6:31" ht="20.100000000000001" customHeight="1" x14ac:dyDescent="0.25">
      <c r="F117" s="14"/>
      <c r="G117" s="14"/>
      <c r="L117" s="14"/>
      <c r="M117" s="15"/>
      <c r="N117" s="16"/>
      <c r="O117" s="16"/>
      <c r="Y117" s="44" t="e">
        <f>INT(INDEX('Dados Consolidados'!$R$2:$R$1000000, MATCH(A117, 'Dados Consolidados'!$A$2:$A$1000000, 0)))</f>
        <v>#N/A</v>
      </c>
      <c r="Z117" s="44" t="e">
        <f>INT(INDEX('Dados Consolidados'!$S$2:$S$1000000, MATCH(B117, 'Dados Consolidados'!$B$2:$B$1000000, 0)))</f>
        <v>#N/A</v>
      </c>
      <c r="AA117" s="44" t="e">
        <f>INT(INDEX('Dados Consolidados'!$T$2:$T$1000000, MATCH(E117, 'Dados Consolidados'!$E$2:$E$1000000, 0)))</f>
        <v>#N/A</v>
      </c>
      <c r="AB117" s="44" t="e">
        <f>INT(INDEX('Dados Consolidados'!$U$2:$U$1000000, MATCH(H117, 'Dados Consolidados'!$H$2:$H$1000000, 0)))</f>
        <v>#N/A</v>
      </c>
      <c r="AC117" s="44" t="e">
        <f>INT(INDEX('Dados Consolidados'!$V$2:$V$1000000, MATCH(J117, 'Dados Consolidados'!$J$2:$J$1000000, 0)))</f>
        <v>#N/A</v>
      </c>
      <c r="AD117" s="44" t="e">
        <f>INT(INDEX('Dados Consolidados'!$X$2:$X$1000000, MATCH(K117, 'Dados Consolidados'!$K$2:$K$1000000, 0)))</f>
        <v>#N/A</v>
      </c>
      <c r="AE117" s="44" t="e">
        <f>INT(INDEX('Dados Consolidados'!$W$2:$W$1000000, MATCH(P117, 'Dados Consolidados'!$P$2:$P$1000000, 0)))</f>
        <v>#N/A</v>
      </c>
    </row>
    <row r="118" spans="6:31" ht="20.100000000000001" customHeight="1" x14ac:dyDescent="0.25">
      <c r="F118" s="14"/>
      <c r="G118" s="14"/>
      <c r="L118" s="14"/>
      <c r="M118" s="15"/>
      <c r="N118" s="16"/>
      <c r="O118" s="16"/>
      <c r="Y118" s="44" t="e">
        <f>INT(INDEX('Dados Consolidados'!$R$2:$R$1000000, MATCH(A118, 'Dados Consolidados'!$A$2:$A$1000000, 0)))</f>
        <v>#N/A</v>
      </c>
      <c r="Z118" s="44" t="e">
        <f>INT(INDEX('Dados Consolidados'!$S$2:$S$1000000, MATCH(B118, 'Dados Consolidados'!$B$2:$B$1000000, 0)))</f>
        <v>#N/A</v>
      </c>
      <c r="AA118" s="44" t="e">
        <f>INT(INDEX('Dados Consolidados'!$T$2:$T$1000000, MATCH(E118, 'Dados Consolidados'!$E$2:$E$1000000, 0)))</f>
        <v>#N/A</v>
      </c>
      <c r="AB118" s="44" t="e">
        <f>INT(INDEX('Dados Consolidados'!$U$2:$U$1000000, MATCH(H118, 'Dados Consolidados'!$H$2:$H$1000000, 0)))</f>
        <v>#N/A</v>
      </c>
      <c r="AC118" s="44" t="e">
        <f>INT(INDEX('Dados Consolidados'!$V$2:$V$1000000, MATCH(J118, 'Dados Consolidados'!$J$2:$J$1000000, 0)))</f>
        <v>#N/A</v>
      </c>
      <c r="AD118" s="44" t="e">
        <f>INT(INDEX('Dados Consolidados'!$X$2:$X$1000000, MATCH(K118, 'Dados Consolidados'!$K$2:$K$1000000, 0)))</f>
        <v>#N/A</v>
      </c>
      <c r="AE118" s="44" t="e">
        <f>INT(INDEX('Dados Consolidados'!$W$2:$W$1000000, MATCH(P118, 'Dados Consolidados'!$P$2:$P$1000000, 0)))</f>
        <v>#N/A</v>
      </c>
    </row>
    <row r="119" spans="6:31" ht="20.100000000000001" customHeight="1" x14ac:dyDescent="0.25">
      <c r="F119" s="14"/>
      <c r="G119" s="14"/>
      <c r="L119" s="14"/>
      <c r="M119" s="15"/>
      <c r="N119" s="16"/>
      <c r="O119" s="16"/>
      <c r="Y119" s="44" t="e">
        <f>INT(INDEX('Dados Consolidados'!$R$2:$R$1000000, MATCH(A119, 'Dados Consolidados'!$A$2:$A$1000000, 0)))</f>
        <v>#N/A</v>
      </c>
      <c r="Z119" s="44" t="e">
        <f>INT(INDEX('Dados Consolidados'!$S$2:$S$1000000, MATCH(B119, 'Dados Consolidados'!$B$2:$B$1000000, 0)))</f>
        <v>#N/A</v>
      </c>
      <c r="AA119" s="44" t="e">
        <f>INT(INDEX('Dados Consolidados'!$T$2:$T$1000000, MATCH(E119, 'Dados Consolidados'!$E$2:$E$1000000, 0)))</f>
        <v>#N/A</v>
      </c>
      <c r="AB119" s="44" t="e">
        <f>INT(INDEX('Dados Consolidados'!$U$2:$U$1000000, MATCH(H119, 'Dados Consolidados'!$H$2:$H$1000000, 0)))</f>
        <v>#N/A</v>
      </c>
      <c r="AC119" s="44" t="e">
        <f>INT(INDEX('Dados Consolidados'!$V$2:$V$1000000, MATCH(J119, 'Dados Consolidados'!$J$2:$J$1000000, 0)))</f>
        <v>#N/A</v>
      </c>
      <c r="AD119" s="44" t="e">
        <f>INT(INDEX('Dados Consolidados'!$X$2:$X$1000000, MATCH(K119, 'Dados Consolidados'!$K$2:$K$1000000, 0)))</f>
        <v>#N/A</v>
      </c>
      <c r="AE119" s="44" t="e">
        <f>INT(INDEX('Dados Consolidados'!$W$2:$W$1000000, MATCH(P119, 'Dados Consolidados'!$P$2:$P$1000000, 0)))</f>
        <v>#N/A</v>
      </c>
    </row>
    <row r="120" spans="6:31" ht="20.100000000000001" customHeight="1" x14ac:dyDescent="0.25">
      <c r="F120" s="14"/>
      <c r="G120" s="14"/>
      <c r="L120" s="14"/>
      <c r="M120" s="15"/>
      <c r="N120" s="16"/>
      <c r="O120" s="16"/>
      <c r="Y120" s="44" t="e">
        <f>INT(INDEX('Dados Consolidados'!$R$2:$R$1000000, MATCH(A120, 'Dados Consolidados'!$A$2:$A$1000000, 0)))</f>
        <v>#N/A</v>
      </c>
      <c r="Z120" s="44" t="e">
        <f>INT(INDEX('Dados Consolidados'!$S$2:$S$1000000, MATCH(B120, 'Dados Consolidados'!$B$2:$B$1000000, 0)))</f>
        <v>#N/A</v>
      </c>
      <c r="AA120" s="44" t="e">
        <f>INT(INDEX('Dados Consolidados'!$T$2:$T$1000000, MATCH(E120, 'Dados Consolidados'!$E$2:$E$1000000, 0)))</f>
        <v>#N/A</v>
      </c>
      <c r="AB120" s="44" t="e">
        <f>INT(INDEX('Dados Consolidados'!$U$2:$U$1000000, MATCH(H120, 'Dados Consolidados'!$H$2:$H$1000000, 0)))</f>
        <v>#N/A</v>
      </c>
      <c r="AC120" s="44" t="e">
        <f>INT(INDEX('Dados Consolidados'!$V$2:$V$1000000, MATCH(J120, 'Dados Consolidados'!$J$2:$J$1000000, 0)))</f>
        <v>#N/A</v>
      </c>
      <c r="AD120" s="44" t="e">
        <f>INT(INDEX('Dados Consolidados'!$X$2:$X$1000000, MATCH(K120, 'Dados Consolidados'!$K$2:$K$1000000, 0)))</f>
        <v>#N/A</v>
      </c>
      <c r="AE120" s="44" t="e">
        <f>INT(INDEX('Dados Consolidados'!$W$2:$W$1000000, MATCH(P120, 'Dados Consolidados'!$P$2:$P$1000000, 0)))</f>
        <v>#N/A</v>
      </c>
    </row>
    <row r="121" spans="6:31" ht="20.100000000000001" customHeight="1" x14ac:dyDescent="0.25">
      <c r="F121" s="14"/>
      <c r="G121" s="14"/>
      <c r="L121" s="14"/>
      <c r="M121" s="15"/>
      <c r="N121" s="16"/>
      <c r="O121" s="16"/>
      <c r="Y121" s="44" t="e">
        <f>INT(INDEX('Dados Consolidados'!$R$2:$R$1000000, MATCH(A121, 'Dados Consolidados'!$A$2:$A$1000000, 0)))</f>
        <v>#N/A</v>
      </c>
      <c r="Z121" s="44" t="e">
        <f>INT(INDEX('Dados Consolidados'!$S$2:$S$1000000, MATCH(B121, 'Dados Consolidados'!$B$2:$B$1000000, 0)))</f>
        <v>#N/A</v>
      </c>
      <c r="AA121" s="44" t="e">
        <f>INT(INDEX('Dados Consolidados'!$T$2:$T$1000000, MATCH(E121, 'Dados Consolidados'!$E$2:$E$1000000, 0)))</f>
        <v>#N/A</v>
      </c>
      <c r="AB121" s="44" t="e">
        <f>INT(INDEX('Dados Consolidados'!$U$2:$U$1000000, MATCH(H121, 'Dados Consolidados'!$H$2:$H$1000000, 0)))</f>
        <v>#N/A</v>
      </c>
      <c r="AC121" s="44" t="e">
        <f>INT(INDEX('Dados Consolidados'!$V$2:$V$1000000, MATCH(J121, 'Dados Consolidados'!$J$2:$J$1000000, 0)))</f>
        <v>#N/A</v>
      </c>
      <c r="AD121" s="44" t="e">
        <f>INT(INDEX('Dados Consolidados'!$X$2:$X$1000000, MATCH(K121, 'Dados Consolidados'!$K$2:$K$1000000, 0)))</f>
        <v>#N/A</v>
      </c>
      <c r="AE121" s="44" t="e">
        <f>INT(INDEX('Dados Consolidados'!$W$2:$W$1000000, MATCH(P121, 'Dados Consolidados'!$P$2:$P$1000000, 0)))</f>
        <v>#N/A</v>
      </c>
    </row>
    <row r="122" spans="6:31" ht="20.100000000000001" customHeight="1" x14ac:dyDescent="0.25">
      <c r="F122" s="14"/>
      <c r="G122" s="14"/>
      <c r="L122" s="14"/>
      <c r="M122" s="15"/>
      <c r="N122" s="16"/>
      <c r="O122" s="16"/>
      <c r="Y122" s="44" t="e">
        <f>INT(INDEX('Dados Consolidados'!$R$2:$R$1000000, MATCH(A122, 'Dados Consolidados'!$A$2:$A$1000000, 0)))</f>
        <v>#N/A</v>
      </c>
      <c r="Z122" s="44" t="e">
        <f>INT(INDEX('Dados Consolidados'!$S$2:$S$1000000, MATCH(B122, 'Dados Consolidados'!$B$2:$B$1000000, 0)))</f>
        <v>#N/A</v>
      </c>
      <c r="AA122" s="44" t="e">
        <f>INT(INDEX('Dados Consolidados'!$T$2:$T$1000000, MATCH(E122, 'Dados Consolidados'!$E$2:$E$1000000, 0)))</f>
        <v>#N/A</v>
      </c>
      <c r="AB122" s="44" t="e">
        <f>INT(INDEX('Dados Consolidados'!$U$2:$U$1000000, MATCH(H122, 'Dados Consolidados'!$H$2:$H$1000000, 0)))</f>
        <v>#N/A</v>
      </c>
      <c r="AC122" s="44" t="e">
        <f>INT(INDEX('Dados Consolidados'!$V$2:$V$1000000, MATCH(J122, 'Dados Consolidados'!$J$2:$J$1000000, 0)))</f>
        <v>#N/A</v>
      </c>
      <c r="AD122" s="44" t="e">
        <f>INT(INDEX('Dados Consolidados'!$X$2:$X$1000000, MATCH(K122, 'Dados Consolidados'!$K$2:$K$1000000, 0)))</f>
        <v>#N/A</v>
      </c>
      <c r="AE122" s="44" t="e">
        <f>INT(INDEX('Dados Consolidados'!$W$2:$W$1000000, MATCH(P122, 'Dados Consolidados'!$P$2:$P$1000000, 0)))</f>
        <v>#N/A</v>
      </c>
    </row>
    <row r="123" spans="6:31" ht="20.100000000000001" customHeight="1" x14ac:dyDescent="0.25">
      <c r="F123" s="14"/>
      <c r="G123" s="14"/>
      <c r="L123" s="14"/>
      <c r="M123" s="15"/>
      <c r="N123" s="16"/>
      <c r="O123" s="16"/>
      <c r="Y123" s="44" t="e">
        <f>INT(INDEX('Dados Consolidados'!$R$2:$R$1000000, MATCH(A123, 'Dados Consolidados'!$A$2:$A$1000000, 0)))</f>
        <v>#N/A</v>
      </c>
      <c r="Z123" s="44" t="e">
        <f>INT(INDEX('Dados Consolidados'!$S$2:$S$1000000, MATCH(B123, 'Dados Consolidados'!$B$2:$B$1000000, 0)))</f>
        <v>#N/A</v>
      </c>
      <c r="AA123" s="44" t="e">
        <f>INT(INDEX('Dados Consolidados'!$T$2:$T$1000000, MATCH(E123, 'Dados Consolidados'!$E$2:$E$1000000, 0)))</f>
        <v>#N/A</v>
      </c>
      <c r="AB123" s="44" t="e">
        <f>INT(INDEX('Dados Consolidados'!$U$2:$U$1000000, MATCH(H123, 'Dados Consolidados'!$H$2:$H$1000000, 0)))</f>
        <v>#N/A</v>
      </c>
      <c r="AC123" s="44" t="e">
        <f>INT(INDEX('Dados Consolidados'!$V$2:$V$1000000, MATCH(J123, 'Dados Consolidados'!$J$2:$J$1000000, 0)))</f>
        <v>#N/A</v>
      </c>
      <c r="AD123" s="44" t="e">
        <f>INT(INDEX('Dados Consolidados'!$X$2:$X$1000000, MATCH(K123, 'Dados Consolidados'!$K$2:$K$1000000, 0)))</f>
        <v>#N/A</v>
      </c>
      <c r="AE123" s="44" t="e">
        <f>INT(INDEX('Dados Consolidados'!$W$2:$W$1000000, MATCH(P123, 'Dados Consolidados'!$P$2:$P$1000000, 0)))</f>
        <v>#N/A</v>
      </c>
    </row>
    <row r="124" spans="6:31" ht="20.100000000000001" customHeight="1" x14ac:dyDescent="0.25">
      <c r="F124" s="14"/>
      <c r="G124" s="14"/>
      <c r="L124" s="14"/>
      <c r="M124" s="15"/>
      <c r="N124" s="16"/>
      <c r="O124" s="16"/>
      <c r="Y124" s="44" t="e">
        <f>INT(INDEX('Dados Consolidados'!$R$2:$R$1000000, MATCH(A124, 'Dados Consolidados'!$A$2:$A$1000000, 0)))</f>
        <v>#N/A</v>
      </c>
      <c r="Z124" s="44" t="e">
        <f>INT(INDEX('Dados Consolidados'!$S$2:$S$1000000, MATCH(B124, 'Dados Consolidados'!$B$2:$B$1000000, 0)))</f>
        <v>#N/A</v>
      </c>
      <c r="AA124" s="44" t="e">
        <f>INT(INDEX('Dados Consolidados'!$T$2:$T$1000000, MATCH(E124, 'Dados Consolidados'!$E$2:$E$1000000, 0)))</f>
        <v>#N/A</v>
      </c>
      <c r="AB124" s="44" t="e">
        <f>INT(INDEX('Dados Consolidados'!$U$2:$U$1000000, MATCH(H124, 'Dados Consolidados'!$H$2:$H$1000000, 0)))</f>
        <v>#N/A</v>
      </c>
      <c r="AC124" s="44" t="e">
        <f>INT(INDEX('Dados Consolidados'!$V$2:$V$1000000, MATCH(J124, 'Dados Consolidados'!$J$2:$J$1000000, 0)))</f>
        <v>#N/A</v>
      </c>
      <c r="AD124" s="44" t="e">
        <f>INT(INDEX('Dados Consolidados'!$X$2:$X$1000000, MATCH(K124, 'Dados Consolidados'!$K$2:$K$1000000, 0)))</f>
        <v>#N/A</v>
      </c>
      <c r="AE124" s="44" t="e">
        <f>INT(INDEX('Dados Consolidados'!$W$2:$W$1000000, MATCH(P124, 'Dados Consolidados'!$P$2:$P$1000000, 0)))</f>
        <v>#N/A</v>
      </c>
    </row>
    <row r="125" spans="6:31" ht="20.100000000000001" customHeight="1" x14ac:dyDescent="0.25">
      <c r="F125" s="14"/>
      <c r="G125" s="14"/>
      <c r="L125" s="14"/>
      <c r="M125" s="15"/>
      <c r="N125" s="16"/>
      <c r="O125" s="16"/>
      <c r="Y125" s="44" t="e">
        <f>INT(INDEX('Dados Consolidados'!$R$2:$R$1000000, MATCH(A125, 'Dados Consolidados'!$A$2:$A$1000000, 0)))</f>
        <v>#N/A</v>
      </c>
      <c r="Z125" s="44" t="e">
        <f>INT(INDEX('Dados Consolidados'!$S$2:$S$1000000, MATCH(B125, 'Dados Consolidados'!$B$2:$B$1000000, 0)))</f>
        <v>#N/A</v>
      </c>
      <c r="AA125" s="44" t="e">
        <f>INT(INDEX('Dados Consolidados'!$T$2:$T$1000000, MATCH(E125, 'Dados Consolidados'!$E$2:$E$1000000, 0)))</f>
        <v>#N/A</v>
      </c>
      <c r="AB125" s="44" t="e">
        <f>INT(INDEX('Dados Consolidados'!$U$2:$U$1000000, MATCH(H125, 'Dados Consolidados'!$H$2:$H$1000000, 0)))</f>
        <v>#N/A</v>
      </c>
      <c r="AC125" s="44" t="e">
        <f>INT(INDEX('Dados Consolidados'!$V$2:$V$1000000, MATCH(J125, 'Dados Consolidados'!$J$2:$J$1000000, 0)))</f>
        <v>#N/A</v>
      </c>
      <c r="AD125" s="44" t="e">
        <f>INT(INDEX('Dados Consolidados'!$X$2:$X$1000000, MATCH(K125, 'Dados Consolidados'!$K$2:$K$1000000, 0)))</f>
        <v>#N/A</v>
      </c>
      <c r="AE125" s="44" t="e">
        <f>INT(INDEX('Dados Consolidados'!$W$2:$W$1000000, MATCH(P125, 'Dados Consolidados'!$P$2:$P$1000000, 0)))</f>
        <v>#N/A</v>
      </c>
    </row>
    <row r="126" spans="6:31" ht="20.100000000000001" customHeight="1" x14ac:dyDescent="0.25">
      <c r="F126" s="14"/>
      <c r="G126" s="14"/>
      <c r="L126" s="14"/>
      <c r="M126" s="15"/>
      <c r="N126" s="16"/>
      <c r="O126" s="16"/>
      <c r="Y126" s="44" t="e">
        <f>INT(INDEX('Dados Consolidados'!$R$2:$R$1000000, MATCH(A126, 'Dados Consolidados'!$A$2:$A$1000000, 0)))</f>
        <v>#N/A</v>
      </c>
      <c r="Z126" s="44" t="e">
        <f>INT(INDEX('Dados Consolidados'!$S$2:$S$1000000, MATCH(B126, 'Dados Consolidados'!$B$2:$B$1000000, 0)))</f>
        <v>#N/A</v>
      </c>
      <c r="AA126" s="44" t="e">
        <f>INT(INDEX('Dados Consolidados'!$T$2:$T$1000000, MATCH(E126, 'Dados Consolidados'!$E$2:$E$1000000, 0)))</f>
        <v>#N/A</v>
      </c>
      <c r="AB126" s="44" t="e">
        <f>INT(INDEX('Dados Consolidados'!$U$2:$U$1000000, MATCH(H126, 'Dados Consolidados'!$H$2:$H$1000000, 0)))</f>
        <v>#N/A</v>
      </c>
      <c r="AC126" s="44" t="e">
        <f>INT(INDEX('Dados Consolidados'!$V$2:$V$1000000, MATCH(J126, 'Dados Consolidados'!$J$2:$J$1000000, 0)))</f>
        <v>#N/A</v>
      </c>
      <c r="AD126" s="44" t="e">
        <f>INT(INDEX('Dados Consolidados'!$X$2:$X$1000000, MATCH(K126, 'Dados Consolidados'!$K$2:$K$1000000, 0)))</f>
        <v>#N/A</v>
      </c>
      <c r="AE126" s="44" t="e">
        <f>INT(INDEX('Dados Consolidados'!$W$2:$W$1000000, MATCH(P126, 'Dados Consolidados'!$P$2:$P$1000000, 0)))</f>
        <v>#N/A</v>
      </c>
    </row>
    <row r="127" spans="6:31" ht="20.100000000000001" customHeight="1" x14ac:dyDescent="0.25">
      <c r="F127" s="14"/>
      <c r="G127" s="14"/>
      <c r="L127" s="14"/>
      <c r="M127" s="15"/>
      <c r="N127" s="16"/>
      <c r="O127" s="16"/>
      <c r="Y127" s="44" t="e">
        <f>INT(INDEX('Dados Consolidados'!$R$2:$R$1000000, MATCH(A127, 'Dados Consolidados'!$A$2:$A$1000000, 0)))</f>
        <v>#N/A</v>
      </c>
      <c r="Z127" s="44" t="e">
        <f>INT(INDEX('Dados Consolidados'!$S$2:$S$1000000, MATCH(B127, 'Dados Consolidados'!$B$2:$B$1000000, 0)))</f>
        <v>#N/A</v>
      </c>
      <c r="AA127" s="44" t="e">
        <f>INT(INDEX('Dados Consolidados'!$T$2:$T$1000000, MATCH(E127, 'Dados Consolidados'!$E$2:$E$1000000, 0)))</f>
        <v>#N/A</v>
      </c>
      <c r="AB127" s="44" t="e">
        <f>INT(INDEX('Dados Consolidados'!$U$2:$U$1000000, MATCH(H127, 'Dados Consolidados'!$H$2:$H$1000000, 0)))</f>
        <v>#N/A</v>
      </c>
      <c r="AC127" s="44" t="e">
        <f>INT(INDEX('Dados Consolidados'!$V$2:$V$1000000, MATCH(J127, 'Dados Consolidados'!$J$2:$J$1000000, 0)))</f>
        <v>#N/A</v>
      </c>
      <c r="AD127" s="44" t="e">
        <f>INT(INDEX('Dados Consolidados'!$X$2:$X$1000000, MATCH(K127, 'Dados Consolidados'!$K$2:$K$1000000, 0)))</f>
        <v>#N/A</v>
      </c>
      <c r="AE127" s="44" t="e">
        <f>INT(INDEX('Dados Consolidados'!$W$2:$W$1000000, MATCH(P127, 'Dados Consolidados'!$P$2:$P$1000000, 0)))</f>
        <v>#N/A</v>
      </c>
    </row>
    <row r="128" spans="6:31" ht="20.100000000000001" customHeight="1" x14ac:dyDescent="0.25">
      <c r="F128" s="14"/>
      <c r="G128" s="14"/>
      <c r="L128" s="14"/>
      <c r="M128" s="15"/>
      <c r="N128" s="16"/>
      <c r="O128" s="16"/>
      <c r="Y128" s="44" t="e">
        <f>INT(INDEX('Dados Consolidados'!$R$2:$R$1000000, MATCH(A128, 'Dados Consolidados'!$A$2:$A$1000000, 0)))</f>
        <v>#N/A</v>
      </c>
      <c r="Z128" s="44" t="e">
        <f>INT(INDEX('Dados Consolidados'!$S$2:$S$1000000, MATCH(B128, 'Dados Consolidados'!$B$2:$B$1000000, 0)))</f>
        <v>#N/A</v>
      </c>
      <c r="AA128" s="44" t="e">
        <f>INT(INDEX('Dados Consolidados'!$T$2:$T$1000000, MATCH(E128, 'Dados Consolidados'!$E$2:$E$1000000, 0)))</f>
        <v>#N/A</v>
      </c>
      <c r="AB128" s="44" t="e">
        <f>INT(INDEX('Dados Consolidados'!$U$2:$U$1000000, MATCH(H128, 'Dados Consolidados'!$H$2:$H$1000000, 0)))</f>
        <v>#N/A</v>
      </c>
      <c r="AC128" s="44" t="e">
        <f>INT(INDEX('Dados Consolidados'!$V$2:$V$1000000, MATCH(J128, 'Dados Consolidados'!$J$2:$J$1000000, 0)))</f>
        <v>#N/A</v>
      </c>
      <c r="AD128" s="44" t="e">
        <f>INT(INDEX('Dados Consolidados'!$X$2:$X$1000000, MATCH(K128, 'Dados Consolidados'!$K$2:$K$1000000, 0)))</f>
        <v>#N/A</v>
      </c>
      <c r="AE128" s="44" t="e">
        <f>INT(INDEX('Dados Consolidados'!$W$2:$W$1000000, MATCH(P128, 'Dados Consolidados'!$P$2:$P$1000000, 0)))</f>
        <v>#N/A</v>
      </c>
    </row>
    <row r="129" spans="6:31" ht="20.100000000000001" customHeight="1" x14ac:dyDescent="0.25">
      <c r="F129" s="14"/>
      <c r="G129" s="14"/>
      <c r="L129" s="14"/>
      <c r="M129" s="15"/>
      <c r="N129" s="16"/>
      <c r="O129" s="16"/>
      <c r="Y129" s="44" t="e">
        <f>INT(INDEX('Dados Consolidados'!$R$2:$R$1000000, MATCH(A129, 'Dados Consolidados'!$A$2:$A$1000000, 0)))</f>
        <v>#N/A</v>
      </c>
      <c r="Z129" s="44" t="e">
        <f>INT(INDEX('Dados Consolidados'!$S$2:$S$1000000, MATCH(B129, 'Dados Consolidados'!$B$2:$B$1000000, 0)))</f>
        <v>#N/A</v>
      </c>
      <c r="AA129" s="44" t="e">
        <f>INT(INDEX('Dados Consolidados'!$T$2:$T$1000000, MATCH(E129, 'Dados Consolidados'!$E$2:$E$1000000, 0)))</f>
        <v>#N/A</v>
      </c>
      <c r="AB129" s="44" t="e">
        <f>INT(INDEX('Dados Consolidados'!$U$2:$U$1000000, MATCH(H129, 'Dados Consolidados'!$H$2:$H$1000000, 0)))</f>
        <v>#N/A</v>
      </c>
      <c r="AC129" s="44" t="e">
        <f>INT(INDEX('Dados Consolidados'!$V$2:$V$1000000, MATCH(J129, 'Dados Consolidados'!$J$2:$J$1000000, 0)))</f>
        <v>#N/A</v>
      </c>
      <c r="AD129" s="44" t="e">
        <f>INT(INDEX('Dados Consolidados'!$X$2:$X$1000000, MATCH(K129, 'Dados Consolidados'!$K$2:$K$1000000, 0)))</f>
        <v>#N/A</v>
      </c>
      <c r="AE129" s="44" t="e">
        <f>INT(INDEX('Dados Consolidados'!$W$2:$W$1000000, MATCH(P129, 'Dados Consolidados'!$P$2:$P$1000000, 0)))</f>
        <v>#N/A</v>
      </c>
    </row>
    <row r="130" spans="6:31" ht="20.100000000000001" customHeight="1" x14ac:dyDescent="0.25">
      <c r="F130" s="14"/>
      <c r="G130" s="14"/>
      <c r="L130" s="14"/>
      <c r="M130" s="15"/>
      <c r="N130" s="16"/>
      <c r="O130" s="16"/>
      <c r="Y130" s="44" t="e">
        <f>INT(INDEX('Dados Consolidados'!$R$2:$R$1000000, MATCH(A130, 'Dados Consolidados'!$A$2:$A$1000000, 0)))</f>
        <v>#N/A</v>
      </c>
      <c r="Z130" s="44" t="e">
        <f>INT(INDEX('Dados Consolidados'!$S$2:$S$1000000, MATCH(B130, 'Dados Consolidados'!$B$2:$B$1000000, 0)))</f>
        <v>#N/A</v>
      </c>
      <c r="AA130" s="44" t="e">
        <f>INT(INDEX('Dados Consolidados'!$T$2:$T$1000000, MATCH(E130, 'Dados Consolidados'!$E$2:$E$1000000, 0)))</f>
        <v>#N/A</v>
      </c>
      <c r="AB130" s="44" t="e">
        <f>INT(INDEX('Dados Consolidados'!$U$2:$U$1000000, MATCH(H130, 'Dados Consolidados'!$H$2:$H$1000000, 0)))</f>
        <v>#N/A</v>
      </c>
      <c r="AC130" s="44" t="e">
        <f>INT(INDEX('Dados Consolidados'!$V$2:$V$1000000, MATCH(J130, 'Dados Consolidados'!$J$2:$J$1000000, 0)))</f>
        <v>#N/A</v>
      </c>
      <c r="AD130" s="44" t="e">
        <f>INT(INDEX('Dados Consolidados'!$X$2:$X$1000000, MATCH(K130, 'Dados Consolidados'!$K$2:$K$1000000, 0)))</f>
        <v>#N/A</v>
      </c>
      <c r="AE130" s="44" t="e">
        <f>INT(INDEX('Dados Consolidados'!$W$2:$W$1000000, MATCH(P130, 'Dados Consolidados'!$P$2:$P$1000000, 0)))</f>
        <v>#N/A</v>
      </c>
    </row>
    <row r="131" spans="6:31" ht="20.100000000000001" customHeight="1" x14ac:dyDescent="0.25">
      <c r="F131" s="14"/>
      <c r="G131" s="14"/>
      <c r="L131" s="14"/>
      <c r="M131" s="15"/>
      <c r="N131" s="16"/>
      <c r="O131" s="16"/>
      <c r="Y131" s="44" t="e">
        <f>INT(INDEX('Dados Consolidados'!$R$2:$R$1000000, MATCH(A131, 'Dados Consolidados'!$A$2:$A$1000000, 0)))</f>
        <v>#N/A</v>
      </c>
      <c r="Z131" s="44" t="e">
        <f>INT(INDEX('Dados Consolidados'!$S$2:$S$1000000, MATCH(B131, 'Dados Consolidados'!$B$2:$B$1000000, 0)))</f>
        <v>#N/A</v>
      </c>
      <c r="AA131" s="44" t="e">
        <f>INT(INDEX('Dados Consolidados'!$T$2:$T$1000000, MATCH(E131, 'Dados Consolidados'!$E$2:$E$1000000, 0)))</f>
        <v>#N/A</v>
      </c>
      <c r="AB131" s="44" t="e">
        <f>INT(INDEX('Dados Consolidados'!$U$2:$U$1000000, MATCH(H131, 'Dados Consolidados'!$H$2:$H$1000000, 0)))</f>
        <v>#N/A</v>
      </c>
      <c r="AC131" s="44" t="e">
        <f>INT(INDEX('Dados Consolidados'!$V$2:$V$1000000, MATCH(J131, 'Dados Consolidados'!$J$2:$J$1000000, 0)))</f>
        <v>#N/A</v>
      </c>
      <c r="AD131" s="44" t="e">
        <f>INT(INDEX('Dados Consolidados'!$X$2:$X$1000000, MATCH(K131, 'Dados Consolidados'!$K$2:$K$1000000, 0)))</f>
        <v>#N/A</v>
      </c>
      <c r="AE131" s="44" t="e">
        <f>INT(INDEX('Dados Consolidados'!$W$2:$W$1000000, MATCH(P131, 'Dados Consolidados'!$P$2:$P$1000000, 0)))</f>
        <v>#N/A</v>
      </c>
    </row>
    <row r="132" spans="6:31" ht="20.100000000000001" customHeight="1" x14ac:dyDescent="0.25">
      <c r="F132" s="14"/>
      <c r="G132" s="14"/>
      <c r="L132" s="14"/>
      <c r="M132" s="15"/>
      <c r="N132" s="16"/>
      <c r="O132" s="16"/>
      <c r="Y132" s="44" t="e">
        <f>INT(INDEX('Dados Consolidados'!$R$2:$R$1000000, MATCH(A132, 'Dados Consolidados'!$A$2:$A$1000000, 0)))</f>
        <v>#N/A</v>
      </c>
      <c r="Z132" s="44" t="e">
        <f>INT(INDEX('Dados Consolidados'!$S$2:$S$1000000, MATCH(B132, 'Dados Consolidados'!$B$2:$B$1000000, 0)))</f>
        <v>#N/A</v>
      </c>
      <c r="AA132" s="44" t="e">
        <f>INT(INDEX('Dados Consolidados'!$T$2:$T$1000000, MATCH(E132, 'Dados Consolidados'!$E$2:$E$1000000, 0)))</f>
        <v>#N/A</v>
      </c>
      <c r="AB132" s="44" t="e">
        <f>INT(INDEX('Dados Consolidados'!$U$2:$U$1000000, MATCH(H132, 'Dados Consolidados'!$H$2:$H$1000000, 0)))</f>
        <v>#N/A</v>
      </c>
      <c r="AC132" s="44" t="e">
        <f>INT(INDEX('Dados Consolidados'!$V$2:$V$1000000, MATCH(J132, 'Dados Consolidados'!$J$2:$J$1000000, 0)))</f>
        <v>#N/A</v>
      </c>
      <c r="AD132" s="44" t="e">
        <f>INT(INDEX('Dados Consolidados'!$X$2:$X$1000000, MATCH(K132, 'Dados Consolidados'!$K$2:$K$1000000, 0)))</f>
        <v>#N/A</v>
      </c>
      <c r="AE132" s="44" t="e">
        <f>INT(INDEX('Dados Consolidados'!$W$2:$W$1000000, MATCH(P132, 'Dados Consolidados'!$P$2:$P$1000000, 0)))</f>
        <v>#N/A</v>
      </c>
    </row>
    <row r="133" spans="6:31" ht="20.100000000000001" customHeight="1" x14ac:dyDescent="0.25">
      <c r="F133" s="14"/>
      <c r="G133" s="14"/>
      <c r="L133" s="14"/>
      <c r="M133" s="15"/>
      <c r="N133" s="16"/>
      <c r="O133" s="16"/>
      <c r="Y133" s="44" t="e">
        <f>INT(INDEX('Dados Consolidados'!$R$2:$R$1000000, MATCH(A133, 'Dados Consolidados'!$A$2:$A$1000000, 0)))</f>
        <v>#N/A</v>
      </c>
      <c r="Z133" s="44" t="e">
        <f>INT(INDEX('Dados Consolidados'!$S$2:$S$1000000, MATCH(B133, 'Dados Consolidados'!$B$2:$B$1000000, 0)))</f>
        <v>#N/A</v>
      </c>
      <c r="AA133" s="44" t="e">
        <f>INT(INDEX('Dados Consolidados'!$T$2:$T$1000000, MATCH(E133, 'Dados Consolidados'!$E$2:$E$1000000, 0)))</f>
        <v>#N/A</v>
      </c>
      <c r="AB133" s="44" t="e">
        <f>INT(INDEX('Dados Consolidados'!$U$2:$U$1000000, MATCH(H133, 'Dados Consolidados'!$H$2:$H$1000000, 0)))</f>
        <v>#N/A</v>
      </c>
      <c r="AC133" s="44" t="e">
        <f>INT(INDEX('Dados Consolidados'!$V$2:$V$1000000, MATCH(J133, 'Dados Consolidados'!$J$2:$J$1000000, 0)))</f>
        <v>#N/A</v>
      </c>
      <c r="AD133" s="44" t="e">
        <f>INT(INDEX('Dados Consolidados'!$X$2:$X$1000000, MATCH(K133, 'Dados Consolidados'!$K$2:$K$1000000, 0)))</f>
        <v>#N/A</v>
      </c>
      <c r="AE133" s="44" t="e">
        <f>INT(INDEX('Dados Consolidados'!$W$2:$W$1000000, MATCH(P133, 'Dados Consolidados'!$P$2:$P$1000000, 0)))</f>
        <v>#N/A</v>
      </c>
    </row>
    <row r="134" spans="6:31" ht="20.100000000000001" customHeight="1" x14ac:dyDescent="0.25">
      <c r="F134" s="14"/>
      <c r="G134" s="14"/>
      <c r="L134" s="14"/>
      <c r="M134" s="15"/>
      <c r="N134" s="16"/>
      <c r="O134" s="16"/>
      <c r="Y134" s="44" t="e">
        <f>INT(INDEX('Dados Consolidados'!$R$2:$R$1000000, MATCH(A134, 'Dados Consolidados'!$A$2:$A$1000000, 0)))</f>
        <v>#N/A</v>
      </c>
      <c r="Z134" s="44" t="e">
        <f>INT(INDEX('Dados Consolidados'!$S$2:$S$1000000, MATCH(B134, 'Dados Consolidados'!$B$2:$B$1000000, 0)))</f>
        <v>#N/A</v>
      </c>
      <c r="AA134" s="44" t="e">
        <f>INT(INDEX('Dados Consolidados'!$T$2:$T$1000000, MATCH(E134, 'Dados Consolidados'!$E$2:$E$1000000, 0)))</f>
        <v>#N/A</v>
      </c>
      <c r="AB134" s="44" t="e">
        <f>INT(INDEX('Dados Consolidados'!$U$2:$U$1000000, MATCH(H134, 'Dados Consolidados'!$H$2:$H$1000000, 0)))</f>
        <v>#N/A</v>
      </c>
      <c r="AC134" s="44" t="e">
        <f>INT(INDEX('Dados Consolidados'!$V$2:$V$1000000, MATCH(J134, 'Dados Consolidados'!$J$2:$J$1000000, 0)))</f>
        <v>#N/A</v>
      </c>
      <c r="AD134" s="44" t="e">
        <f>INT(INDEX('Dados Consolidados'!$X$2:$X$1000000, MATCH(K134, 'Dados Consolidados'!$K$2:$K$1000000, 0)))</f>
        <v>#N/A</v>
      </c>
      <c r="AE134" s="44" t="e">
        <f>INT(INDEX('Dados Consolidados'!$W$2:$W$1000000, MATCH(P134, 'Dados Consolidados'!$P$2:$P$1000000, 0)))</f>
        <v>#N/A</v>
      </c>
    </row>
    <row r="135" spans="6:31" ht="20.100000000000001" customHeight="1" x14ac:dyDescent="0.25">
      <c r="F135" s="14"/>
      <c r="G135" s="14"/>
      <c r="L135" s="14"/>
      <c r="M135" s="15"/>
      <c r="N135" s="16"/>
      <c r="O135" s="16"/>
      <c r="Y135" s="44" t="e">
        <f>INT(INDEX('Dados Consolidados'!$R$2:$R$1000000, MATCH(A135, 'Dados Consolidados'!$A$2:$A$1000000, 0)))</f>
        <v>#N/A</v>
      </c>
      <c r="Z135" s="44" t="e">
        <f>INT(INDEX('Dados Consolidados'!$S$2:$S$1000000, MATCH(B135, 'Dados Consolidados'!$B$2:$B$1000000, 0)))</f>
        <v>#N/A</v>
      </c>
      <c r="AA135" s="44" t="e">
        <f>INT(INDEX('Dados Consolidados'!$T$2:$T$1000000, MATCH(E135, 'Dados Consolidados'!$E$2:$E$1000000, 0)))</f>
        <v>#N/A</v>
      </c>
      <c r="AB135" s="44" t="e">
        <f>INT(INDEX('Dados Consolidados'!$U$2:$U$1000000, MATCH(H135, 'Dados Consolidados'!$H$2:$H$1000000, 0)))</f>
        <v>#N/A</v>
      </c>
      <c r="AC135" s="44" t="e">
        <f>INT(INDEX('Dados Consolidados'!$V$2:$V$1000000, MATCH(J135, 'Dados Consolidados'!$J$2:$J$1000000, 0)))</f>
        <v>#N/A</v>
      </c>
      <c r="AD135" s="44" t="e">
        <f>INT(INDEX('Dados Consolidados'!$X$2:$X$1000000, MATCH(K135, 'Dados Consolidados'!$K$2:$K$1000000, 0)))</f>
        <v>#N/A</v>
      </c>
      <c r="AE135" s="44" t="e">
        <f>INT(INDEX('Dados Consolidados'!$W$2:$W$1000000, MATCH(P135, 'Dados Consolidados'!$P$2:$P$1000000, 0)))</f>
        <v>#N/A</v>
      </c>
    </row>
    <row r="136" spans="6:31" ht="20.100000000000001" customHeight="1" x14ac:dyDescent="0.25">
      <c r="F136" s="14"/>
      <c r="G136" s="14"/>
      <c r="L136" s="14"/>
      <c r="M136" s="15"/>
      <c r="N136" s="16"/>
      <c r="O136" s="16"/>
      <c r="Y136" s="44" t="e">
        <f>INT(INDEX('Dados Consolidados'!$R$2:$R$1000000, MATCH(A136, 'Dados Consolidados'!$A$2:$A$1000000, 0)))</f>
        <v>#N/A</v>
      </c>
      <c r="Z136" s="44" t="e">
        <f>INT(INDEX('Dados Consolidados'!$S$2:$S$1000000, MATCH(B136, 'Dados Consolidados'!$B$2:$B$1000000, 0)))</f>
        <v>#N/A</v>
      </c>
      <c r="AA136" s="44" t="e">
        <f>INT(INDEX('Dados Consolidados'!$T$2:$T$1000000, MATCH(E136, 'Dados Consolidados'!$E$2:$E$1000000, 0)))</f>
        <v>#N/A</v>
      </c>
      <c r="AB136" s="44" t="e">
        <f>INT(INDEX('Dados Consolidados'!$U$2:$U$1000000, MATCH(H136, 'Dados Consolidados'!$H$2:$H$1000000, 0)))</f>
        <v>#N/A</v>
      </c>
      <c r="AC136" s="44" t="e">
        <f>INT(INDEX('Dados Consolidados'!$V$2:$V$1000000, MATCH(J136, 'Dados Consolidados'!$J$2:$J$1000000, 0)))</f>
        <v>#N/A</v>
      </c>
      <c r="AD136" s="44" t="e">
        <f>INT(INDEX('Dados Consolidados'!$X$2:$X$1000000, MATCH(K136, 'Dados Consolidados'!$K$2:$K$1000000, 0)))</f>
        <v>#N/A</v>
      </c>
      <c r="AE136" s="44" t="e">
        <f>INT(INDEX('Dados Consolidados'!$W$2:$W$1000000, MATCH(P136, 'Dados Consolidados'!$P$2:$P$1000000, 0)))</f>
        <v>#N/A</v>
      </c>
    </row>
    <row r="137" spans="6:31" ht="20.100000000000001" customHeight="1" x14ac:dyDescent="0.25">
      <c r="F137" s="14"/>
      <c r="G137" s="14"/>
      <c r="L137" s="14"/>
      <c r="M137" s="15"/>
      <c r="N137" s="16"/>
      <c r="O137" s="16"/>
      <c r="Y137" s="44" t="e">
        <f>INT(INDEX('Dados Consolidados'!$R$2:$R$1000000, MATCH(A137, 'Dados Consolidados'!$A$2:$A$1000000, 0)))</f>
        <v>#N/A</v>
      </c>
      <c r="Z137" s="44" t="e">
        <f>INT(INDEX('Dados Consolidados'!$S$2:$S$1000000, MATCH(B137, 'Dados Consolidados'!$B$2:$B$1000000, 0)))</f>
        <v>#N/A</v>
      </c>
      <c r="AA137" s="44" t="e">
        <f>INT(INDEX('Dados Consolidados'!$T$2:$T$1000000, MATCH(E137, 'Dados Consolidados'!$E$2:$E$1000000, 0)))</f>
        <v>#N/A</v>
      </c>
      <c r="AB137" s="44" t="e">
        <f>INT(INDEX('Dados Consolidados'!$U$2:$U$1000000, MATCH(H137, 'Dados Consolidados'!$H$2:$H$1000000, 0)))</f>
        <v>#N/A</v>
      </c>
      <c r="AC137" s="44" t="e">
        <f>INT(INDEX('Dados Consolidados'!$V$2:$V$1000000, MATCH(J137, 'Dados Consolidados'!$J$2:$J$1000000, 0)))</f>
        <v>#N/A</v>
      </c>
      <c r="AD137" s="44" t="e">
        <f>INT(INDEX('Dados Consolidados'!$X$2:$X$1000000, MATCH(K137, 'Dados Consolidados'!$K$2:$K$1000000, 0)))</f>
        <v>#N/A</v>
      </c>
      <c r="AE137" s="44" t="e">
        <f>INT(INDEX('Dados Consolidados'!$W$2:$W$1000000, MATCH(P137, 'Dados Consolidados'!$P$2:$P$1000000, 0)))</f>
        <v>#N/A</v>
      </c>
    </row>
    <row r="138" spans="6:31" ht="20.100000000000001" customHeight="1" x14ac:dyDescent="0.25">
      <c r="F138" s="14"/>
      <c r="G138" s="14"/>
      <c r="L138" s="14"/>
      <c r="M138" s="15"/>
      <c r="N138" s="16"/>
      <c r="O138" s="16"/>
      <c r="Y138" s="44" t="e">
        <f>INT(INDEX('Dados Consolidados'!$R$2:$R$1000000, MATCH(A138, 'Dados Consolidados'!$A$2:$A$1000000, 0)))</f>
        <v>#N/A</v>
      </c>
      <c r="Z138" s="44" t="e">
        <f>INT(INDEX('Dados Consolidados'!$S$2:$S$1000000, MATCH(B138, 'Dados Consolidados'!$B$2:$B$1000000, 0)))</f>
        <v>#N/A</v>
      </c>
      <c r="AA138" s="44" t="e">
        <f>INT(INDEX('Dados Consolidados'!$T$2:$T$1000000, MATCH(E138, 'Dados Consolidados'!$E$2:$E$1000000, 0)))</f>
        <v>#N/A</v>
      </c>
      <c r="AB138" s="44" t="e">
        <f>INT(INDEX('Dados Consolidados'!$U$2:$U$1000000, MATCH(H138, 'Dados Consolidados'!$H$2:$H$1000000, 0)))</f>
        <v>#N/A</v>
      </c>
      <c r="AC138" s="44" t="e">
        <f>INT(INDEX('Dados Consolidados'!$V$2:$V$1000000, MATCH(J138, 'Dados Consolidados'!$J$2:$J$1000000, 0)))</f>
        <v>#N/A</v>
      </c>
      <c r="AD138" s="44" t="e">
        <f>INT(INDEX('Dados Consolidados'!$X$2:$X$1000000, MATCH(K138, 'Dados Consolidados'!$K$2:$K$1000000, 0)))</f>
        <v>#N/A</v>
      </c>
      <c r="AE138" s="44" t="e">
        <f>INT(INDEX('Dados Consolidados'!$W$2:$W$1000000, MATCH(P138, 'Dados Consolidados'!$P$2:$P$1000000, 0)))</f>
        <v>#N/A</v>
      </c>
    </row>
    <row r="139" spans="6:31" ht="20.100000000000001" customHeight="1" x14ac:dyDescent="0.25">
      <c r="F139" s="14"/>
      <c r="G139" s="14"/>
      <c r="L139" s="14"/>
      <c r="M139" s="15"/>
      <c r="N139" s="16"/>
      <c r="O139" s="16"/>
      <c r="Y139" s="44" t="e">
        <f>INT(INDEX('Dados Consolidados'!$R$2:$R$1000000, MATCH(A139, 'Dados Consolidados'!$A$2:$A$1000000, 0)))</f>
        <v>#N/A</v>
      </c>
      <c r="Z139" s="44" t="e">
        <f>INT(INDEX('Dados Consolidados'!$S$2:$S$1000000, MATCH(B139, 'Dados Consolidados'!$B$2:$B$1000000, 0)))</f>
        <v>#N/A</v>
      </c>
      <c r="AA139" s="44" t="e">
        <f>INT(INDEX('Dados Consolidados'!$T$2:$T$1000000, MATCH(E139, 'Dados Consolidados'!$E$2:$E$1000000, 0)))</f>
        <v>#N/A</v>
      </c>
      <c r="AB139" s="44" t="e">
        <f>INT(INDEX('Dados Consolidados'!$U$2:$U$1000000, MATCH(H139, 'Dados Consolidados'!$H$2:$H$1000000, 0)))</f>
        <v>#N/A</v>
      </c>
      <c r="AC139" s="44" t="e">
        <f>INT(INDEX('Dados Consolidados'!$V$2:$V$1000000, MATCH(J139, 'Dados Consolidados'!$J$2:$J$1000000, 0)))</f>
        <v>#N/A</v>
      </c>
      <c r="AD139" s="44" t="e">
        <f>INT(INDEX('Dados Consolidados'!$X$2:$X$1000000, MATCH(K139, 'Dados Consolidados'!$K$2:$K$1000000, 0)))</f>
        <v>#N/A</v>
      </c>
      <c r="AE139" s="44" t="e">
        <f>INT(INDEX('Dados Consolidados'!$W$2:$W$1000000, MATCH(P139, 'Dados Consolidados'!$P$2:$P$1000000, 0)))</f>
        <v>#N/A</v>
      </c>
    </row>
    <row r="140" spans="6:31" ht="20.100000000000001" customHeight="1" x14ac:dyDescent="0.25">
      <c r="F140" s="14"/>
      <c r="G140" s="14"/>
      <c r="L140" s="14"/>
      <c r="M140" s="15"/>
      <c r="N140" s="16"/>
      <c r="O140" s="16"/>
      <c r="Y140" s="44" t="e">
        <f>INT(INDEX('Dados Consolidados'!$R$2:$R$1000000, MATCH(A140, 'Dados Consolidados'!$A$2:$A$1000000, 0)))</f>
        <v>#N/A</v>
      </c>
      <c r="Z140" s="44" t="e">
        <f>INT(INDEX('Dados Consolidados'!$S$2:$S$1000000, MATCH(B140, 'Dados Consolidados'!$B$2:$B$1000000, 0)))</f>
        <v>#N/A</v>
      </c>
      <c r="AA140" s="44" t="e">
        <f>INT(INDEX('Dados Consolidados'!$T$2:$T$1000000, MATCH(E140, 'Dados Consolidados'!$E$2:$E$1000000, 0)))</f>
        <v>#N/A</v>
      </c>
      <c r="AB140" s="44" t="e">
        <f>INT(INDEX('Dados Consolidados'!$U$2:$U$1000000, MATCH(H140, 'Dados Consolidados'!$H$2:$H$1000000, 0)))</f>
        <v>#N/A</v>
      </c>
      <c r="AC140" s="44" t="e">
        <f>INT(INDEX('Dados Consolidados'!$V$2:$V$1000000, MATCH(J140, 'Dados Consolidados'!$J$2:$J$1000000, 0)))</f>
        <v>#N/A</v>
      </c>
      <c r="AD140" s="44" t="e">
        <f>INT(INDEX('Dados Consolidados'!$X$2:$X$1000000, MATCH(K140, 'Dados Consolidados'!$K$2:$K$1000000, 0)))</f>
        <v>#N/A</v>
      </c>
      <c r="AE140" s="44" t="e">
        <f>INT(INDEX('Dados Consolidados'!$W$2:$W$1000000, MATCH(P140, 'Dados Consolidados'!$P$2:$P$1000000, 0)))</f>
        <v>#N/A</v>
      </c>
    </row>
    <row r="141" spans="6:31" ht="20.100000000000001" customHeight="1" x14ac:dyDescent="0.25">
      <c r="F141" s="14"/>
      <c r="G141" s="14"/>
      <c r="L141" s="14"/>
      <c r="M141" s="15"/>
      <c r="N141" s="16"/>
      <c r="O141" s="16"/>
      <c r="Y141" s="44" t="e">
        <f>INT(INDEX('Dados Consolidados'!$R$2:$R$1000000, MATCH(A141, 'Dados Consolidados'!$A$2:$A$1000000, 0)))</f>
        <v>#N/A</v>
      </c>
      <c r="Z141" s="44" t="e">
        <f>INT(INDEX('Dados Consolidados'!$S$2:$S$1000000, MATCH(B141, 'Dados Consolidados'!$B$2:$B$1000000, 0)))</f>
        <v>#N/A</v>
      </c>
      <c r="AA141" s="44" t="e">
        <f>INT(INDEX('Dados Consolidados'!$T$2:$T$1000000, MATCH(E141, 'Dados Consolidados'!$E$2:$E$1000000, 0)))</f>
        <v>#N/A</v>
      </c>
      <c r="AB141" s="44" t="e">
        <f>INT(INDEX('Dados Consolidados'!$U$2:$U$1000000, MATCH(H141, 'Dados Consolidados'!$H$2:$H$1000000, 0)))</f>
        <v>#N/A</v>
      </c>
      <c r="AC141" s="44" t="e">
        <f>INT(INDEX('Dados Consolidados'!$V$2:$V$1000000, MATCH(J141, 'Dados Consolidados'!$J$2:$J$1000000, 0)))</f>
        <v>#N/A</v>
      </c>
      <c r="AD141" s="44" t="e">
        <f>INT(INDEX('Dados Consolidados'!$X$2:$X$1000000, MATCH(K141, 'Dados Consolidados'!$K$2:$K$1000000, 0)))</f>
        <v>#N/A</v>
      </c>
      <c r="AE141" s="44" t="e">
        <f>INT(INDEX('Dados Consolidados'!$W$2:$W$1000000, MATCH(P141, 'Dados Consolidados'!$P$2:$P$1000000, 0)))</f>
        <v>#N/A</v>
      </c>
    </row>
    <row r="142" spans="6:31" ht="20.100000000000001" customHeight="1" x14ac:dyDescent="0.25">
      <c r="F142" s="14"/>
      <c r="G142" s="14"/>
      <c r="L142" s="14"/>
      <c r="M142" s="15"/>
      <c r="N142" s="16"/>
      <c r="O142" s="16"/>
      <c r="Y142" s="44" t="e">
        <f>INT(INDEX('Dados Consolidados'!$R$2:$R$1000000, MATCH(A142, 'Dados Consolidados'!$A$2:$A$1000000, 0)))</f>
        <v>#N/A</v>
      </c>
      <c r="Z142" s="44" t="e">
        <f>INT(INDEX('Dados Consolidados'!$S$2:$S$1000000, MATCH(B142, 'Dados Consolidados'!$B$2:$B$1000000, 0)))</f>
        <v>#N/A</v>
      </c>
      <c r="AA142" s="44" t="e">
        <f>INT(INDEX('Dados Consolidados'!$T$2:$T$1000000, MATCH(E142, 'Dados Consolidados'!$E$2:$E$1000000, 0)))</f>
        <v>#N/A</v>
      </c>
      <c r="AB142" s="44" t="e">
        <f>INT(INDEX('Dados Consolidados'!$U$2:$U$1000000, MATCH(H142, 'Dados Consolidados'!$H$2:$H$1000000, 0)))</f>
        <v>#N/A</v>
      </c>
      <c r="AC142" s="44" t="e">
        <f>INT(INDEX('Dados Consolidados'!$V$2:$V$1000000, MATCH(J142, 'Dados Consolidados'!$J$2:$J$1000000, 0)))</f>
        <v>#N/A</v>
      </c>
      <c r="AD142" s="44" t="e">
        <f>INT(INDEX('Dados Consolidados'!$X$2:$X$1000000, MATCH(K142, 'Dados Consolidados'!$K$2:$K$1000000, 0)))</f>
        <v>#N/A</v>
      </c>
      <c r="AE142" s="44" t="e">
        <f>INT(INDEX('Dados Consolidados'!$W$2:$W$1000000, MATCH(P142, 'Dados Consolidados'!$P$2:$P$1000000, 0)))</f>
        <v>#N/A</v>
      </c>
    </row>
    <row r="143" spans="6:31" ht="20.100000000000001" customHeight="1" x14ac:dyDescent="0.25">
      <c r="F143" s="14"/>
      <c r="G143" s="14"/>
      <c r="L143" s="14"/>
      <c r="M143" s="15"/>
      <c r="N143" s="16"/>
      <c r="O143" s="16"/>
      <c r="Y143" s="44" t="e">
        <f>INT(INDEX('Dados Consolidados'!$R$2:$R$1000000, MATCH(A143, 'Dados Consolidados'!$A$2:$A$1000000, 0)))</f>
        <v>#N/A</v>
      </c>
      <c r="Z143" s="44" t="e">
        <f>INT(INDEX('Dados Consolidados'!$S$2:$S$1000000, MATCH(B143, 'Dados Consolidados'!$B$2:$B$1000000, 0)))</f>
        <v>#N/A</v>
      </c>
      <c r="AA143" s="44" t="e">
        <f>INT(INDEX('Dados Consolidados'!$T$2:$T$1000000, MATCH(E143, 'Dados Consolidados'!$E$2:$E$1000000, 0)))</f>
        <v>#N/A</v>
      </c>
      <c r="AB143" s="44" t="e">
        <f>INT(INDEX('Dados Consolidados'!$U$2:$U$1000000, MATCH(H143, 'Dados Consolidados'!$H$2:$H$1000000, 0)))</f>
        <v>#N/A</v>
      </c>
      <c r="AC143" s="44" t="e">
        <f>INT(INDEX('Dados Consolidados'!$V$2:$V$1000000, MATCH(J143, 'Dados Consolidados'!$J$2:$J$1000000, 0)))</f>
        <v>#N/A</v>
      </c>
      <c r="AD143" s="44" t="e">
        <f>INT(INDEX('Dados Consolidados'!$X$2:$X$1000000, MATCH(K143, 'Dados Consolidados'!$K$2:$K$1000000, 0)))</f>
        <v>#N/A</v>
      </c>
      <c r="AE143" s="44" t="e">
        <f>INT(INDEX('Dados Consolidados'!$W$2:$W$1000000, MATCH(P143, 'Dados Consolidados'!$P$2:$P$1000000, 0)))</f>
        <v>#N/A</v>
      </c>
    </row>
    <row r="144" spans="6:31" ht="20.100000000000001" customHeight="1" x14ac:dyDescent="0.25">
      <c r="F144" s="14"/>
      <c r="G144" s="14"/>
      <c r="L144" s="14"/>
      <c r="M144" s="15"/>
      <c r="N144" s="16"/>
      <c r="O144" s="16"/>
      <c r="Y144" s="44" t="e">
        <f>INT(INDEX('Dados Consolidados'!$R$2:$R$1000000, MATCH(A144, 'Dados Consolidados'!$A$2:$A$1000000, 0)))</f>
        <v>#N/A</v>
      </c>
      <c r="Z144" s="44" t="e">
        <f>INT(INDEX('Dados Consolidados'!$S$2:$S$1000000, MATCH(B144, 'Dados Consolidados'!$B$2:$B$1000000, 0)))</f>
        <v>#N/A</v>
      </c>
      <c r="AA144" s="44" t="e">
        <f>INT(INDEX('Dados Consolidados'!$T$2:$T$1000000, MATCH(E144, 'Dados Consolidados'!$E$2:$E$1000000, 0)))</f>
        <v>#N/A</v>
      </c>
      <c r="AB144" s="44" t="e">
        <f>INT(INDEX('Dados Consolidados'!$U$2:$U$1000000, MATCH(H144, 'Dados Consolidados'!$H$2:$H$1000000, 0)))</f>
        <v>#N/A</v>
      </c>
      <c r="AC144" s="44" t="e">
        <f>INT(INDEX('Dados Consolidados'!$V$2:$V$1000000, MATCH(J144, 'Dados Consolidados'!$J$2:$J$1000000, 0)))</f>
        <v>#N/A</v>
      </c>
      <c r="AD144" s="44" t="e">
        <f>INT(INDEX('Dados Consolidados'!$X$2:$X$1000000, MATCH(K144, 'Dados Consolidados'!$K$2:$K$1000000, 0)))</f>
        <v>#N/A</v>
      </c>
      <c r="AE144" s="44" t="e">
        <f>INT(INDEX('Dados Consolidados'!$W$2:$W$1000000, MATCH(P144, 'Dados Consolidados'!$P$2:$P$1000000, 0)))</f>
        <v>#N/A</v>
      </c>
    </row>
    <row r="145" spans="6:31" ht="20.100000000000001" customHeight="1" x14ac:dyDescent="0.25">
      <c r="F145" s="14"/>
      <c r="G145" s="14"/>
      <c r="L145" s="14"/>
      <c r="M145" s="15"/>
      <c r="N145" s="16"/>
      <c r="O145" s="16"/>
      <c r="Y145" s="44" t="e">
        <f>INT(INDEX('Dados Consolidados'!$R$2:$R$1000000, MATCH(A145, 'Dados Consolidados'!$A$2:$A$1000000, 0)))</f>
        <v>#N/A</v>
      </c>
      <c r="Z145" s="44" t="e">
        <f>INT(INDEX('Dados Consolidados'!$S$2:$S$1000000, MATCH(B145, 'Dados Consolidados'!$B$2:$B$1000000, 0)))</f>
        <v>#N/A</v>
      </c>
      <c r="AA145" s="44" t="e">
        <f>INT(INDEX('Dados Consolidados'!$T$2:$T$1000000, MATCH(E145, 'Dados Consolidados'!$E$2:$E$1000000, 0)))</f>
        <v>#N/A</v>
      </c>
      <c r="AB145" s="44" t="e">
        <f>INT(INDEX('Dados Consolidados'!$U$2:$U$1000000, MATCH(H145, 'Dados Consolidados'!$H$2:$H$1000000, 0)))</f>
        <v>#N/A</v>
      </c>
      <c r="AC145" s="44" t="e">
        <f>INT(INDEX('Dados Consolidados'!$V$2:$V$1000000, MATCH(J145, 'Dados Consolidados'!$J$2:$J$1000000, 0)))</f>
        <v>#N/A</v>
      </c>
      <c r="AD145" s="44" t="e">
        <f>INT(INDEX('Dados Consolidados'!$X$2:$X$1000000, MATCH(K145, 'Dados Consolidados'!$K$2:$K$1000000, 0)))</f>
        <v>#N/A</v>
      </c>
      <c r="AE145" s="44" t="e">
        <f>INT(INDEX('Dados Consolidados'!$W$2:$W$1000000, MATCH(P145, 'Dados Consolidados'!$P$2:$P$1000000, 0)))</f>
        <v>#N/A</v>
      </c>
    </row>
    <row r="146" spans="6:31" ht="20.100000000000001" customHeight="1" x14ac:dyDescent="0.25">
      <c r="F146" s="14"/>
      <c r="G146" s="14"/>
      <c r="L146" s="14"/>
      <c r="M146" s="15"/>
      <c r="N146" s="16"/>
      <c r="O146" s="16"/>
      <c r="Y146" s="44" t="e">
        <f>INT(INDEX('Dados Consolidados'!$R$2:$R$1000000, MATCH(A146, 'Dados Consolidados'!$A$2:$A$1000000, 0)))</f>
        <v>#N/A</v>
      </c>
      <c r="Z146" s="44" t="e">
        <f>INT(INDEX('Dados Consolidados'!$S$2:$S$1000000, MATCH(B146, 'Dados Consolidados'!$B$2:$B$1000000, 0)))</f>
        <v>#N/A</v>
      </c>
      <c r="AA146" s="44" t="e">
        <f>INT(INDEX('Dados Consolidados'!$T$2:$T$1000000, MATCH(E146, 'Dados Consolidados'!$E$2:$E$1000000, 0)))</f>
        <v>#N/A</v>
      </c>
      <c r="AB146" s="44" t="e">
        <f>INT(INDEX('Dados Consolidados'!$U$2:$U$1000000, MATCH(H146, 'Dados Consolidados'!$H$2:$H$1000000, 0)))</f>
        <v>#N/A</v>
      </c>
      <c r="AC146" s="44" t="e">
        <f>INT(INDEX('Dados Consolidados'!$V$2:$V$1000000, MATCH(J146, 'Dados Consolidados'!$J$2:$J$1000000, 0)))</f>
        <v>#N/A</v>
      </c>
      <c r="AD146" s="44" t="e">
        <f>INT(INDEX('Dados Consolidados'!$X$2:$X$1000000, MATCH(K146, 'Dados Consolidados'!$K$2:$K$1000000, 0)))</f>
        <v>#N/A</v>
      </c>
      <c r="AE146" s="44" t="e">
        <f>INT(INDEX('Dados Consolidados'!$W$2:$W$1000000, MATCH(P146, 'Dados Consolidados'!$P$2:$P$1000000, 0)))</f>
        <v>#N/A</v>
      </c>
    </row>
    <row r="147" spans="6:31" ht="20.100000000000001" customHeight="1" x14ac:dyDescent="0.25">
      <c r="F147" s="14"/>
      <c r="G147" s="14"/>
      <c r="L147" s="14"/>
      <c r="M147" s="15"/>
      <c r="N147" s="16"/>
      <c r="O147" s="16"/>
      <c r="Y147" s="44" t="e">
        <f>INT(INDEX('Dados Consolidados'!$R$2:$R$1000000, MATCH(A147, 'Dados Consolidados'!$A$2:$A$1000000, 0)))</f>
        <v>#N/A</v>
      </c>
      <c r="Z147" s="44" t="e">
        <f>INT(INDEX('Dados Consolidados'!$S$2:$S$1000000, MATCH(B147, 'Dados Consolidados'!$B$2:$B$1000000, 0)))</f>
        <v>#N/A</v>
      </c>
      <c r="AA147" s="44" t="e">
        <f>INT(INDEX('Dados Consolidados'!$T$2:$T$1000000, MATCH(E147, 'Dados Consolidados'!$E$2:$E$1000000, 0)))</f>
        <v>#N/A</v>
      </c>
      <c r="AB147" s="44" t="e">
        <f>INT(INDEX('Dados Consolidados'!$U$2:$U$1000000, MATCH(H147, 'Dados Consolidados'!$H$2:$H$1000000, 0)))</f>
        <v>#N/A</v>
      </c>
      <c r="AC147" s="44" t="e">
        <f>INT(INDEX('Dados Consolidados'!$V$2:$V$1000000, MATCH(J147, 'Dados Consolidados'!$J$2:$J$1000000, 0)))</f>
        <v>#N/A</v>
      </c>
      <c r="AD147" s="44" t="e">
        <f>INT(INDEX('Dados Consolidados'!$X$2:$X$1000000, MATCH(K147, 'Dados Consolidados'!$K$2:$K$1000000, 0)))</f>
        <v>#N/A</v>
      </c>
      <c r="AE147" s="44" t="e">
        <f>INT(INDEX('Dados Consolidados'!$W$2:$W$1000000, MATCH(P147, 'Dados Consolidados'!$P$2:$P$1000000, 0)))</f>
        <v>#N/A</v>
      </c>
    </row>
    <row r="148" spans="6:31" ht="20.100000000000001" customHeight="1" x14ac:dyDescent="0.25">
      <c r="F148" s="14"/>
      <c r="G148" s="14"/>
      <c r="L148" s="14"/>
      <c r="M148" s="15"/>
      <c r="N148" s="16"/>
      <c r="O148" s="16"/>
      <c r="Y148" s="44" t="e">
        <f>INT(INDEX('Dados Consolidados'!$R$2:$R$1000000, MATCH(A148, 'Dados Consolidados'!$A$2:$A$1000000, 0)))</f>
        <v>#N/A</v>
      </c>
      <c r="Z148" s="44" t="e">
        <f>INT(INDEX('Dados Consolidados'!$S$2:$S$1000000, MATCH(B148, 'Dados Consolidados'!$B$2:$B$1000000, 0)))</f>
        <v>#N/A</v>
      </c>
      <c r="AA148" s="44" t="e">
        <f>INT(INDEX('Dados Consolidados'!$T$2:$T$1000000, MATCH(E148, 'Dados Consolidados'!$E$2:$E$1000000, 0)))</f>
        <v>#N/A</v>
      </c>
      <c r="AB148" s="44" t="e">
        <f>INT(INDEX('Dados Consolidados'!$U$2:$U$1000000, MATCH(H148, 'Dados Consolidados'!$H$2:$H$1000000, 0)))</f>
        <v>#N/A</v>
      </c>
      <c r="AC148" s="44" t="e">
        <f>INT(INDEX('Dados Consolidados'!$V$2:$V$1000000, MATCH(J148, 'Dados Consolidados'!$J$2:$J$1000000, 0)))</f>
        <v>#N/A</v>
      </c>
      <c r="AD148" s="44" t="e">
        <f>INT(INDEX('Dados Consolidados'!$X$2:$X$1000000, MATCH(K148, 'Dados Consolidados'!$K$2:$K$1000000, 0)))</f>
        <v>#N/A</v>
      </c>
      <c r="AE148" s="44" t="e">
        <f>INT(INDEX('Dados Consolidados'!$W$2:$W$1000000, MATCH(P148, 'Dados Consolidados'!$P$2:$P$1000000, 0)))</f>
        <v>#N/A</v>
      </c>
    </row>
    <row r="149" spans="6:31" ht="20.100000000000001" customHeight="1" x14ac:dyDescent="0.25">
      <c r="F149" s="14"/>
      <c r="G149" s="14"/>
      <c r="L149" s="14"/>
      <c r="M149" s="15"/>
      <c r="N149" s="16"/>
      <c r="O149" s="16"/>
      <c r="Y149" s="44" t="e">
        <f>INT(INDEX('Dados Consolidados'!$R$2:$R$1000000, MATCH(A149, 'Dados Consolidados'!$A$2:$A$1000000, 0)))</f>
        <v>#N/A</v>
      </c>
      <c r="Z149" s="44" t="e">
        <f>INT(INDEX('Dados Consolidados'!$S$2:$S$1000000, MATCH(B149, 'Dados Consolidados'!$B$2:$B$1000000, 0)))</f>
        <v>#N/A</v>
      </c>
      <c r="AA149" s="44" t="e">
        <f>INT(INDEX('Dados Consolidados'!$T$2:$T$1000000, MATCH(E149, 'Dados Consolidados'!$E$2:$E$1000000, 0)))</f>
        <v>#N/A</v>
      </c>
      <c r="AB149" s="44" t="e">
        <f>INT(INDEX('Dados Consolidados'!$U$2:$U$1000000, MATCH(H149, 'Dados Consolidados'!$H$2:$H$1000000, 0)))</f>
        <v>#N/A</v>
      </c>
      <c r="AC149" s="44" t="e">
        <f>INT(INDEX('Dados Consolidados'!$V$2:$V$1000000, MATCH(J149, 'Dados Consolidados'!$J$2:$J$1000000, 0)))</f>
        <v>#N/A</v>
      </c>
      <c r="AD149" s="44" t="e">
        <f>INT(INDEX('Dados Consolidados'!$X$2:$X$1000000, MATCH(K149, 'Dados Consolidados'!$K$2:$K$1000000, 0)))</f>
        <v>#N/A</v>
      </c>
      <c r="AE149" s="44" t="e">
        <f>INT(INDEX('Dados Consolidados'!$W$2:$W$1000000, MATCH(P149, 'Dados Consolidados'!$P$2:$P$1000000, 0)))</f>
        <v>#N/A</v>
      </c>
    </row>
    <row r="150" spans="6:31" ht="20.100000000000001" customHeight="1" x14ac:dyDescent="0.25">
      <c r="F150" s="14"/>
      <c r="G150" s="14"/>
      <c r="L150" s="14"/>
      <c r="M150" s="15"/>
      <c r="N150" s="16"/>
      <c r="O150" s="16"/>
      <c r="Y150" s="44" t="e">
        <f>INT(INDEX('Dados Consolidados'!$R$2:$R$1000000, MATCH(A150, 'Dados Consolidados'!$A$2:$A$1000000, 0)))</f>
        <v>#N/A</v>
      </c>
      <c r="Z150" s="44" t="e">
        <f>INT(INDEX('Dados Consolidados'!$S$2:$S$1000000, MATCH(B150, 'Dados Consolidados'!$B$2:$B$1000000, 0)))</f>
        <v>#N/A</v>
      </c>
      <c r="AA150" s="44" t="e">
        <f>INT(INDEX('Dados Consolidados'!$T$2:$T$1000000, MATCH(E150, 'Dados Consolidados'!$E$2:$E$1000000, 0)))</f>
        <v>#N/A</v>
      </c>
      <c r="AB150" s="44" t="e">
        <f>INT(INDEX('Dados Consolidados'!$U$2:$U$1000000, MATCH(H150, 'Dados Consolidados'!$H$2:$H$1000000, 0)))</f>
        <v>#N/A</v>
      </c>
      <c r="AC150" s="44" t="e">
        <f>INT(INDEX('Dados Consolidados'!$V$2:$V$1000000, MATCH(J150, 'Dados Consolidados'!$J$2:$J$1000000, 0)))</f>
        <v>#N/A</v>
      </c>
      <c r="AD150" s="44" t="e">
        <f>INT(INDEX('Dados Consolidados'!$X$2:$X$1000000, MATCH(K150, 'Dados Consolidados'!$K$2:$K$1000000, 0)))</f>
        <v>#N/A</v>
      </c>
      <c r="AE150" s="44" t="e">
        <f>INT(INDEX('Dados Consolidados'!$W$2:$W$1000000, MATCH(P150, 'Dados Consolidados'!$P$2:$P$1000000, 0)))</f>
        <v>#N/A</v>
      </c>
    </row>
    <row r="151" spans="6:31" ht="20.100000000000001" customHeight="1" x14ac:dyDescent="0.25">
      <c r="F151" s="14"/>
      <c r="G151" s="14"/>
      <c r="L151" s="14"/>
      <c r="M151" s="15"/>
      <c r="N151" s="16"/>
      <c r="O151" s="16"/>
      <c r="Y151" s="44" t="e">
        <f>INT(INDEX('Dados Consolidados'!$R$2:$R$1000000, MATCH(A151, 'Dados Consolidados'!$A$2:$A$1000000, 0)))</f>
        <v>#N/A</v>
      </c>
      <c r="Z151" s="44" t="e">
        <f>INT(INDEX('Dados Consolidados'!$S$2:$S$1000000, MATCH(B151, 'Dados Consolidados'!$B$2:$B$1000000, 0)))</f>
        <v>#N/A</v>
      </c>
      <c r="AA151" s="44" t="e">
        <f>INT(INDEX('Dados Consolidados'!$T$2:$T$1000000, MATCH(E151, 'Dados Consolidados'!$E$2:$E$1000000, 0)))</f>
        <v>#N/A</v>
      </c>
      <c r="AB151" s="44" t="e">
        <f>INT(INDEX('Dados Consolidados'!$U$2:$U$1000000, MATCH(H151, 'Dados Consolidados'!$H$2:$H$1000000, 0)))</f>
        <v>#N/A</v>
      </c>
      <c r="AC151" s="44" t="e">
        <f>INT(INDEX('Dados Consolidados'!$V$2:$V$1000000, MATCH(J151, 'Dados Consolidados'!$J$2:$J$1000000, 0)))</f>
        <v>#N/A</v>
      </c>
      <c r="AD151" s="44" t="e">
        <f>INT(INDEX('Dados Consolidados'!$X$2:$X$1000000, MATCH(K151, 'Dados Consolidados'!$K$2:$K$1000000, 0)))</f>
        <v>#N/A</v>
      </c>
      <c r="AE151" s="44" t="e">
        <f>INT(INDEX('Dados Consolidados'!$W$2:$W$1000000, MATCH(P151, 'Dados Consolidados'!$P$2:$P$1000000, 0)))</f>
        <v>#N/A</v>
      </c>
    </row>
    <row r="152" spans="6:31" ht="20.100000000000001" customHeight="1" x14ac:dyDescent="0.25">
      <c r="F152" s="14"/>
      <c r="G152" s="14"/>
      <c r="L152" s="14"/>
      <c r="M152" s="15"/>
      <c r="N152" s="16"/>
      <c r="O152" s="16"/>
      <c r="Y152" s="44" t="e">
        <f>INT(INDEX('Dados Consolidados'!$R$2:$R$1000000, MATCH(A152, 'Dados Consolidados'!$A$2:$A$1000000, 0)))</f>
        <v>#N/A</v>
      </c>
      <c r="Z152" s="44" t="e">
        <f>INT(INDEX('Dados Consolidados'!$S$2:$S$1000000, MATCH(B152, 'Dados Consolidados'!$B$2:$B$1000000, 0)))</f>
        <v>#N/A</v>
      </c>
      <c r="AA152" s="44" t="e">
        <f>INT(INDEX('Dados Consolidados'!$T$2:$T$1000000, MATCH(E152, 'Dados Consolidados'!$E$2:$E$1000000, 0)))</f>
        <v>#N/A</v>
      </c>
      <c r="AB152" s="44" t="e">
        <f>INT(INDEX('Dados Consolidados'!$U$2:$U$1000000, MATCH(H152, 'Dados Consolidados'!$H$2:$H$1000000, 0)))</f>
        <v>#N/A</v>
      </c>
      <c r="AC152" s="44" t="e">
        <f>INT(INDEX('Dados Consolidados'!$V$2:$V$1000000, MATCH(J152, 'Dados Consolidados'!$J$2:$J$1000000, 0)))</f>
        <v>#N/A</v>
      </c>
      <c r="AD152" s="44" t="e">
        <f>INT(INDEX('Dados Consolidados'!$X$2:$X$1000000, MATCH(K152, 'Dados Consolidados'!$K$2:$K$1000000, 0)))</f>
        <v>#N/A</v>
      </c>
      <c r="AE152" s="44" t="e">
        <f>INT(INDEX('Dados Consolidados'!$W$2:$W$1000000, MATCH(P152, 'Dados Consolidados'!$P$2:$P$1000000, 0)))</f>
        <v>#N/A</v>
      </c>
    </row>
    <row r="153" spans="6:31" ht="20.100000000000001" customHeight="1" x14ac:dyDescent="0.25">
      <c r="F153" s="14"/>
      <c r="G153" s="14"/>
      <c r="L153" s="14"/>
      <c r="M153" s="15"/>
      <c r="N153" s="16"/>
      <c r="O153" s="16"/>
      <c r="Y153" s="44" t="e">
        <f>INT(INDEX('Dados Consolidados'!$R$2:$R$1000000, MATCH(A153, 'Dados Consolidados'!$A$2:$A$1000000, 0)))</f>
        <v>#N/A</v>
      </c>
      <c r="Z153" s="44" t="e">
        <f>INT(INDEX('Dados Consolidados'!$S$2:$S$1000000, MATCH(B153, 'Dados Consolidados'!$B$2:$B$1000000, 0)))</f>
        <v>#N/A</v>
      </c>
      <c r="AA153" s="44" t="e">
        <f>INT(INDEX('Dados Consolidados'!$T$2:$T$1000000, MATCH(E153, 'Dados Consolidados'!$E$2:$E$1000000, 0)))</f>
        <v>#N/A</v>
      </c>
      <c r="AB153" s="44" t="e">
        <f>INT(INDEX('Dados Consolidados'!$U$2:$U$1000000, MATCH(H153, 'Dados Consolidados'!$H$2:$H$1000000, 0)))</f>
        <v>#N/A</v>
      </c>
      <c r="AC153" s="44" t="e">
        <f>INT(INDEX('Dados Consolidados'!$V$2:$V$1000000, MATCH(J153, 'Dados Consolidados'!$J$2:$J$1000000, 0)))</f>
        <v>#N/A</v>
      </c>
      <c r="AD153" s="44" t="e">
        <f>INT(INDEX('Dados Consolidados'!$X$2:$X$1000000, MATCH(K153, 'Dados Consolidados'!$K$2:$K$1000000, 0)))</f>
        <v>#N/A</v>
      </c>
      <c r="AE153" s="44" t="e">
        <f>INT(INDEX('Dados Consolidados'!$W$2:$W$1000000, MATCH(P153, 'Dados Consolidados'!$P$2:$P$1000000, 0)))</f>
        <v>#N/A</v>
      </c>
    </row>
    <row r="154" spans="6:31" ht="20.100000000000001" customHeight="1" x14ac:dyDescent="0.25">
      <c r="F154" s="14"/>
      <c r="G154" s="14"/>
      <c r="L154" s="14"/>
      <c r="M154" s="15"/>
      <c r="N154" s="16"/>
      <c r="O154" s="16"/>
      <c r="Y154" s="44" t="e">
        <f>INT(INDEX('Dados Consolidados'!$R$2:$R$1000000, MATCH(A154, 'Dados Consolidados'!$A$2:$A$1000000, 0)))</f>
        <v>#N/A</v>
      </c>
      <c r="Z154" s="44" t="e">
        <f>INT(INDEX('Dados Consolidados'!$S$2:$S$1000000, MATCH(B154, 'Dados Consolidados'!$B$2:$B$1000000, 0)))</f>
        <v>#N/A</v>
      </c>
      <c r="AA154" s="44" t="e">
        <f>INT(INDEX('Dados Consolidados'!$T$2:$T$1000000, MATCH(E154, 'Dados Consolidados'!$E$2:$E$1000000, 0)))</f>
        <v>#N/A</v>
      </c>
      <c r="AB154" s="44" t="e">
        <f>INT(INDEX('Dados Consolidados'!$U$2:$U$1000000, MATCH(H154, 'Dados Consolidados'!$H$2:$H$1000000, 0)))</f>
        <v>#N/A</v>
      </c>
      <c r="AC154" s="44" t="e">
        <f>INT(INDEX('Dados Consolidados'!$V$2:$V$1000000, MATCH(J154, 'Dados Consolidados'!$J$2:$J$1000000, 0)))</f>
        <v>#N/A</v>
      </c>
      <c r="AD154" s="44" t="e">
        <f>INT(INDEX('Dados Consolidados'!$X$2:$X$1000000, MATCH(K154, 'Dados Consolidados'!$K$2:$K$1000000, 0)))</f>
        <v>#N/A</v>
      </c>
      <c r="AE154" s="44" t="e">
        <f>INT(INDEX('Dados Consolidados'!$W$2:$W$1000000, MATCH(P154, 'Dados Consolidados'!$P$2:$P$1000000, 0)))</f>
        <v>#N/A</v>
      </c>
    </row>
    <row r="155" spans="6:31" ht="20.100000000000001" customHeight="1" x14ac:dyDescent="0.25">
      <c r="F155" s="14"/>
      <c r="G155" s="14"/>
      <c r="L155" s="14"/>
      <c r="M155" s="15"/>
      <c r="N155" s="16"/>
      <c r="O155" s="16"/>
      <c r="Y155" s="44" t="e">
        <f>INT(INDEX('Dados Consolidados'!$R$2:$R$1000000, MATCH(A155, 'Dados Consolidados'!$A$2:$A$1000000, 0)))</f>
        <v>#N/A</v>
      </c>
      <c r="Z155" s="44" t="e">
        <f>INT(INDEX('Dados Consolidados'!$S$2:$S$1000000, MATCH(B155, 'Dados Consolidados'!$B$2:$B$1000000, 0)))</f>
        <v>#N/A</v>
      </c>
      <c r="AA155" s="44" t="e">
        <f>INT(INDEX('Dados Consolidados'!$T$2:$T$1000000, MATCH(E155, 'Dados Consolidados'!$E$2:$E$1000000, 0)))</f>
        <v>#N/A</v>
      </c>
      <c r="AB155" s="44" t="e">
        <f>INT(INDEX('Dados Consolidados'!$U$2:$U$1000000, MATCH(H155, 'Dados Consolidados'!$H$2:$H$1000000, 0)))</f>
        <v>#N/A</v>
      </c>
      <c r="AC155" s="44" t="e">
        <f>INT(INDEX('Dados Consolidados'!$V$2:$V$1000000, MATCH(J155, 'Dados Consolidados'!$J$2:$J$1000000, 0)))</f>
        <v>#N/A</v>
      </c>
      <c r="AD155" s="44" t="e">
        <f>INT(INDEX('Dados Consolidados'!$X$2:$X$1000000, MATCH(K155, 'Dados Consolidados'!$K$2:$K$1000000, 0)))</f>
        <v>#N/A</v>
      </c>
      <c r="AE155" s="44" t="e">
        <f>INT(INDEX('Dados Consolidados'!$W$2:$W$1000000, MATCH(P155, 'Dados Consolidados'!$P$2:$P$1000000, 0)))</f>
        <v>#N/A</v>
      </c>
    </row>
    <row r="156" spans="6:31" ht="20.100000000000001" customHeight="1" x14ac:dyDescent="0.25">
      <c r="F156" s="14"/>
      <c r="G156" s="14"/>
      <c r="L156" s="14"/>
      <c r="M156" s="15"/>
      <c r="N156" s="16"/>
      <c r="O156" s="16"/>
      <c r="Y156" s="44" t="e">
        <f>INT(INDEX('Dados Consolidados'!$R$2:$R$1000000, MATCH(A156, 'Dados Consolidados'!$A$2:$A$1000000, 0)))</f>
        <v>#N/A</v>
      </c>
      <c r="Z156" s="44" t="e">
        <f>INT(INDEX('Dados Consolidados'!$S$2:$S$1000000, MATCH(B156, 'Dados Consolidados'!$B$2:$B$1000000, 0)))</f>
        <v>#N/A</v>
      </c>
      <c r="AA156" s="44" t="e">
        <f>INT(INDEX('Dados Consolidados'!$T$2:$T$1000000, MATCH(E156, 'Dados Consolidados'!$E$2:$E$1000000, 0)))</f>
        <v>#N/A</v>
      </c>
      <c r="AB156" s="44" t="e">
        <f>INT(INDEX('Dados Consolidados'!$U$2:$U$1000000, MATCH(H156, 'Dados Consolidados'!$H$2:$H$1000000, 0)))</f>
        <v>#N/A</v>
      </c>
      <c r="AC156" s="44" t="e">
        <f>INT(INDEX('Dados Consolidados'!$V$2:$V$1000000, MATCH(J156, 'Dados Consolidados'!$J$2:$J$1000000, 0)))</f>
        <v>#N/A</v>
      </c>
      <c r="AD156" s="44" t="e">
        <f>INT(INDEX('Dados Consolidados'!$X$2:$X$1000000, MATCH(K156, 'Dados Consolidados'!$K$2:$K$1000000, 0)))</f>
        <v>#N/A</v>
      </c>
      <c r="AE156" s="44" t="e">
        <f>INT(INDEX('Dados Consolidados'!$W$2:$W$1000000, MATCH(P156, 'Dados Consolidados'!$P$2:$P$1000000, 0)))</f>
        <v>#N/A</v>
      </c>
    </row>
    <row r="157" spans="6:31" ht="20.100000000000001" customHeight="1" x14ac:dyDescent="0.25">
      <c r="F157" s="14"/>
      <c r="G157" s="14"/>
      <c r="L157" s="14"/>
      <c r="M157" s="15"/>
      <c r="N157" s="16"/>
      <c r="O157" s="16"/>
      <c r="Y157" s="44" t="e">
        <f>INT(INDEX('Dados Consolidados'!$R$2:$R$1000000, MATCH(A157, 'Dados Consolidados'!$A$2:$A$1000000, 0)))</f>
        <v>#N/A</v>
      </c>
      <c r="Z157" s="44" t="e">
        <f>INT(INDEX('Dados Consolidados'!$S$2:$S$1000000, MATCH(B157, 'Dados Consolidados'!$B$2:$B$1000000, 0)))</f>
        <v>#N/A</v>
      </c>
      <c r="AA157" s="44" t="e">
        <f>INT(INDEX('Dados Consolidados'!$T$2:$T$1000000, MATCH(E157, 'Dados Consolidados'!$E$2:$E$1000000, 0)))</f>
        <v>#N/A</v>
      </c>
      <c r="AB157" s="44" t="e">
        <f>INT(INDEX('Dados Consolidados'!$U$2:$U$1000000, MATCH(H157, 'Dados Consolidados'!$H$2:$H$1000000, 0)))</f>
        <v>#N/A</v>
      </c>
      <c r="AC157" s="44" t="e">
        <f>INT(INDEX('Dados Consolidados'!$V$2:$V$1000000, MATCH(J157, 'Dados Consolidados'!$J$2:$J$1000000, 0)))</f>
        <v>#N/A</v>
      </c>
      <c r="AD157" s="44" t="e">
        <f>INT(INDEX('Dados Consolidados'!$X$2:$X$1000000, MATCH(K157, 'Dados Consolidados'!$K$2:$K$1000000, 0)))</f>
        <v>#N/A</v>
      </c>
      <c r="AE157" s="44" t="e">
        <f>INT(INDEX('Dados Consolidados'!$W$2:$W$1000000, MATCH(P157, 'Dados Consolidados'!$P$2:$P$1000000, 0)))</f>
        <v>#N/A</v>
      </c>
    </row>
    <row r="158" spans="6:31" ht="20.100000000000001" customHeight="1" x14ac:dyDescent="0.25">
      <c r="F158" s="14"/>
      <c r="G158" s="14"/>
      <c r="L158" s="14"/>
      <c r="M158" s="15"/>
      <c r="N158" s="16"/>
      <c r="O158" s="16"/>
      <c r="Y158" s="44" t="e">
        <f>INT(INDEX('Dados Consolidados'!$R$2:$R$1000000, MATCH(A158, 'Dados Consolidados'!$A$2:$A$1000000, 0)))</f>
        <v>#N/A</v>
      </c>
      <c r="Z158" s="44" t="e">
        <f>INT(INDEX('Dados Consolidados'!$S$2:$S$1000000, MATCH(B158, 'Dados Consolidados'!$B$2:$B$1000000, 0)))</f>
        <v>#N/A</v>
      </c>
      <c r="AA158" s="44" t="e">
        <f>INT(INDEX('Dados Consolidados'!$T$2:$T$1000000, MATCH(E158, 'Dados Consolidados'!$E$2:$E$1000000, 0)))</f>
        <v>#N/A</v>
      </c>
      <c r="AB158" s="44" t="e">
        <f>INT(INDEX('Dados Consolidados'!$U$2:$U$1000000, MATCH(H158, 'Dados Consolidados'!$H$2:$H$1000000, 0)))</f>
        <v>#N/A</v>
      </c>
      <c r="AC158" s="44" t="e">
        <f>INT(INDEX('Dados Consolidados'!$V$2:$V$1000000, MATCH(J158, 'Dados Consolidados'!$J$2:$J$1000000, 0)))</f>
        <v>#N/A</v>
      </c>
      <c r="AD158" s="44" t="e">
        <f>INT(INDEX('Dados Consolidados'!$X$2:$X$1000000, MATCH(K158, 'Dados Consolidados'!$K$2:$K$1000000, 0)))</f>
        <v>#N/A</v>
      </c>
      <c r="AE158" s="44" t="e">
        <f>INT(INDEX('Dados Consolidados'!$W$2:$W$1000000, MATCH(P158, 'Dados Consolidados'!$P$2:$P$1000000, 0)))</f>
        <v>#N/A</v>
      </c>
    </row>
    <row r="159" spans="6:31" ht="20.100000000000001" customHeight="1" x14ac:dyDescent="0.25">
      <c r="F159" s="14"/>
      <c r="G159" s="14"/>
      <c r="L159" s="14"/>
      <c r="M159" s="15"/>
      <c r="N159" s="16"/>
      <c r="O159" s="16"/>
      <c r="Y159" s="44" t="e">
        <f>INT(INDEX('Dados Consolidados'!$R$2:$R$1000000, MATCH(A159, 'Dados Consolidados'!$A$2:$A$1000000, 0)))</f>
        <v>#N/A</v>
      </c>
      <c r="Z159" s="44" t="e">
        <f>INT(INDEX('Dados Consolidados'!$S$2:$S$1000000, MATCH(B159, 'Dados Consolidados'!$B$2:$B$1000000, 0)))</f>
        <v>#N/A</v>
      </c>
      <c r="AA159" s="44" t="e">
        <f>INT(INDEX('Dados Consolidados'!$T$2:$T$1000000, MATCH(E159, 'Dados Consolidados'!$E$2:$E$1000000, 0)))</f>
        <v>#N/A</v>
      </c>
      <c r="AB159" s="44" t="e">
        <f>INT(INDEX('Dados Consolidados'!$U$2:$U$1000000, MATCH(H159, 'Dados Consolidados'!$H$2:$H$1000000, 0)))</f>
        <v>#N/A</v>
      </c>
      <c r="AC159" s="44" t="e">
        <f>INT(INDEX('Dados Consolidados'!$V$2:$V$1000000, MATCH(J159, 'Dados Consolidados'!$J$2:$J$1000000, 0)))</f>
        <v>#N/A</v>
      </c>
      <c r="AD159" s="44" t="e">
        <f>INT(INDEX('Dados Consolidados'!$X$2:$X$1000000, MATCH(K159, 'Dados Consolidados'!$K$2:$K$1000000, 0)))</f>
        <v>#N/A</v>
      </c>
      <c r="AE159" s="44" t="e">
        <f>INT(INDEX('Dados Consolidados'!$W$2:$W$1000000, MATCH(P159, 'Dados Consolidados'!$P$2:$P$1000000, 0)))</f>
        <v>#N/A</v>
      </c>
    </row>
    <row r="160" spans="6:31" ht="20.100000000000001" customHeight="1" x14ac:dyDescent="0.25">
      <c r="F160" s="14"/>
      <c r="G160" s="14"/>
      <c r="L160" s="14"/>
      <c r="M160" s="15"/>
      <c r="N160" s="16"/>
      <c r="O160" s="16"/>
      <c r="Y160" s="44" t="e">
        <f>INT(INDEX('Dados Consolidados'!$R$2:$R$1000000, MATCH(A160, 'Dados Consolidados'!$A$2:$A$1000000, 0)))</f>
        <v>#N/A</v>
      </c>
      <c r="Z160" s="44" t="e">
        <f>INT(INDEX('Dados Consolidados'!$S$2:$S$1000000, MATCH(B160, 'Dados Consolidados'!$B$2:$B$1000000, 0)))</f>
        <v>#N/A</v>
      </c>
      <c r="AA160" s="44" t="e">
        <f>INT(INDEX('Dados Consolidados'!$T$2:$T$1000000, MATCH(E160, 'Dados Consolidados'!$E$2:$E$1000000, 0)))</f>
        <v>#N/A</v>
      </c>
      <c r="AB160" s="44" t="e">
        <f>INT(INDEX('Dados Consolidados'!$U$2:$U$1000000, MATCH(H160, 'Dados Consolidados'!$H$2:$H$1000000, 0)))</f>
        <v>#N/A</v>
      </c>
      <c r="AC160" s="44" t="e">
        <f>INT(INDEX('Dados Consolidados'!$V$2:$V$1000000, MATCH(J160, 'Dados Consolidados'!$J$2:$J$1000000, 0)))</f>
        <v>#N/A</v>
      </c>
      <c r="AD160" s="44" t="e">
        <f>INT(INDEX('Dados Consolidados'!$X$2:$X$1000000, MATCH(K160, 'Dados Consolidados'!$K$2:$K$1000000, 0)))</f>
        <v>#N/A</v>
      </c>
      <c r="AE160" s="44" t="e">
        <f>INT(INDEX('Dados Consolidados'!$W$2:$W$1000000, MATCH(P160, 'Dados Consolidados'!$P$2:$P$1000000, 0)))</f>
        <v>#N/A</v>
      </c>
    </row>
    <row r="161" spans="6:31" ht="20.100000000000001" customHeight="1" x14ac:dyDescent="0.25">
      <c r="F161" s="14"/>
      <c r="G161" s="14"/>
      <c r="L161" s="14"/>
      <c r="M161" s="15"/>
      <c r="N161" s="16"/>
      <c r="O161" s="16"/>
      <c r="Y161" s="44" t="e">
        <f>INT(INDEX('Dados Consolidados'!$R$2:$R$1000000, MATCH(A161, 'Dados Consolidados'!$A$2:$A$1000000, 0)))</f>
        <v>#N/A</v>
      </c>
      <c r="Z161" s="44" t="e">
        <f>INT(INDEX('Dados Consolidados'!$S$2:$S$1000000, MATCH(B161, 'Dados Consolidados'!$B$2:$B$1000000, 0)))</f>
        <v>#N/A</v>
      </c>
      <c r="AA161" s="44" t="e">
        <f>INT(INDEX('Dados Consolidados'!$T$2:$T$1000000, MATCH(E161, 'Dados Consolidados'!$E$2:$E$1000000, 0)))</f>
        <v>#N/A</v>
      </c>
      <c r="AB161" s="44" t="e">
        <f>INT(INDEX('Dados Consolidados'!$U$2:$U$1000000, MATCH(H161, 'Dados Consolidados'!$H$2:$H$1000000, 0)))</f>
        <v>#N/A</v>
      </c>
      <c r="AC161" s="44" t="e">
        <f>INT(INDEX('Dados Consolidados'!$V$2:$V$1000000, MATCH(J161, 'Dados Consolidados'!$J$2:$J$1000000, 0)))</f>
        <v>#N/A</v>
      </c>
      <c r="AD161" s="44" t="e">
        <f>INT(INDEX('Dados Consolidados'!$X$2:$X$1000000, MATCH(K161, 'Dados Consolidados'!$K$2:$K$1000000, 0)))</f>
        <v>#N/A</v>
      </c>
      <c r="AE161" s="44" t="e">
        <f>INT(INDEX('Dados Consolidados'!$W$2:$W$1000000, MATCH(P161, 'Dados Consolidados'!$P$2:$P$1000000, 0)))</f>
        <v>#N/A</v>
      </c>
    </row>
    <row r="162" spans="6:31" ht="20.100000000000001" customHeight="1" x14ac:dyDescent="0.25">
      <c r="F162" s="14"/>
      <c r="G162" s="14"/>
      <c r="L162" s="14"/>
      <c r="M162" s="15"/>
      <c r="N162" s="16"/>
      <c r="O162" s="16"/>
      <c r="Y162" s="44" t="e">
        <f>INT(INDEX('Dados Consolidados'!$R$2:$R$1000000, MATCH(A162, 'Dados Consolidados'!$A$2:$A$1000000, 0)))</f>
        <v>#N/A</v>
      </c>
      <c r="Z162" s="44" t="e">
        <f>INT(INDEX('Dados Consolidados'!$S$2:$S$1000000, MATCH(B162, 'Dados Consolidados'!$B$2:$B$1000000, 0)))</f>
        <v>#N/A</v>
      </c>
      <c r="AA162" s="44" t="e">
        <f>INT(INDEX('Dados Consolidados'!$T$2:$T$1000000, MATCH(E162, 'Dados Consolidados'!$E$2:$E$1000000, 0)))</f>
        <v>#N/A</v>
      </c>
      <c r="AB162" s="44" t="e">
        <f>INT(INDEX('Dados Consolidados'!$U$2:$U$1000000, MATCH(H162, 'Dados Consolidados'!$H$2:$H$1000000, 0)))</f>
        <v>#N/A</v>
      </c>
      <c r="AC162" s="44" t="e">
        <f>INT(INDEX('Dados Consolidados'!$V$2:$V$1000000, MATCH(J162, 'Dados Consolidados'!$J$2:$J$1000000, 0)))</f>
        <v>#N/A</v>
      </c>
      <c r="AD162" s="44" t="e">
        <f>INT(INDEX('Dados Consolidados'!$X$2:$X$1000000, MATCH(K162, 'Dados Consolidados'!$K$2:$K$1000000, 0)))</f>
        <v>#N/A</v>
      </c>
      <c r="AE162" s="44" t="e">
        <f>INT(INDEX('Dados Consolidados'!$W$2:$W$1000000, MATCH(P162, 'Dados Consolidados'!$P$2:$P$1000000, 0)))</f>
        <v>#N/A</v>
      </c>
    </row>
    <row r="163" spans="6:31" ht="20.100000000000001" customHeight="1" x14ac:dyDescent="0.25">
      <c r="F163" s="14"/>
      <c r="G163" s="14"/>
      <c r="L163" s="14"/>
      <c r="M163" s="15"/>
      <c r="N163" s="16"/>
      <c r="O163" s="16"/>
      <c r="Y163" s="44" t="e">
        <f>INT(INDEX('Dados Consolidados'!$R$2:$R$1000000, MATCH(A163, 'Dados Consolidados'!$A$2:$A$1000000, 0)))</f>
        <v>#N/A</v>
      </c>
      <c r="Z163" s="44" t="e">
        <f>INT(INDEX('Dados Consolidados'!$S$2:$S$1000000, MATCH(B163, 'Dados Consolidados'!$B$2:$B$1000000, 0)))</f>
        <v>#N/A</v>
      </c>
      <c r="AA163" s="44" t="e">
        <f>INT(INDEX('Dados Consolidados'!$T$2:$T$1000000, MATCH(E163, 'Dados Consolidados'!$E$2:$E$1000000, 0)))</f>
        <v>#N/A</v>
      </c>
      <c r="AB163" s="44" t="e">
        <f>INT(INDEX('Dados Consolidados'!$U$2:$U$1000000, MATCH(H163, 'Dados Consolidados'!$H$2:$H$1000000, 0)))</f>
        <v>#N/A</v>
      </c>
      <c r="AC163" s="44" t="e">
        <f>INT(INDEX('Dados Consolidados'!$V$2:$V$1000000, MATCH(J163, 'Dados Consolidados'!$J$2:$J$1000000, 0)))</f>
        <v>#N/A</v>
      </c>
      <c r="AD163" s="44" t="e">
        <f>INT(INDEX('Dados Consolidados'!$X$2:$X$1000000, MATCH(K163, 'Dados Consolidados'!$K$2:$K$1000000, 0)))</f>
        <v>#N/A</v>
      </c>
      <c r="AE163" s="44" t="e">
        <f>INT(INDEX('Dados Consolidados'!$W$2:$W$1000000, MATCH(P163, 'Dados Consolidados'!$P$2:$P$1000000, 0)))</f>
        <v>#N/A</v>
      </c>
    </row>
    <row r="164" spans="6:31" ht="20.100000000000001" customHeight="1" x14ac:dyDescent="0.25">
      <c r="F164" s="14"/>
      <c r="G164" s="14"/>
      <c r="L164" s="14"/>
      <c r="M164" s="15"/>
      <c r="N164" s="16"/>
      <c r="O164" s="16"/>
      <c r="Y164" s="44" t="e">
        <f>INT(INDEX('Dados Consolidados'!$R$2:$R$1000000, MATCH(A164, 'Dados Consolidados'!$A$2:$A$1000000, 0)))</f>
        <v>#N/A</v>
      </c>
      <c r="Z164" s="44" t="e">
        <f>INT(INDEX('Dados Consolidados'!$S$2:$S$1000000, MATCH(B164, 'Dados Consolidados'!$B$2:$B$1000000, 0)))</f>
        <v>#N/A</v>
      </c>
      <c r="AA164" s="44" t="e">
        <f>INT(INDEX('Dados Consolidados'!$T$2:$T$1000000, MATCH(E164, 'Dados Consolidados'!$E$2:$E$1000000, 0)))</f>
        <v>#N/A</v>
      </c>
      <c r="AB164" s="44" t="e">
        <f>INT(INDEX('Dados Consolidados'!$U$2:$U$1000000, MATCH(H164, 'Dados Consolidados'!$H$2:$H$1000000, 0)))</f>
        <v>#N/A</v>
      </c>
      <c r="AC164" s="44" t="e">
        <f>INT(INDEX('Dados Consolidados'!$V$2:$V$1000000, MATCH(J164, 'Dados Consolidados'!$J$2:$J$1000000, 0)))</f>
        <v>#N/A</v>
      </c>
      <c r="AD164" s="44" t="e">
        <f>INT(INDEX('Dados Consolidados'!$X$2:$X$1000000, MATCH(K164, 'Dados Consolidados'!$K$2:$K$1000000, 0)))</f>
        <v>#N/A</v>
      </c>
      <c r="AE164" s="44" t="e">
        <f>INT(INDEX('Dados Consolidados'!$W$2:$W$1000000, MATCH(P164, 'Dados Consolidados'!$P$2:$P$1000000, 0)))</f>
        <v>#N/A</v>
      </c>
    </row>
    <row r="165" spans="6:31" ht="20.100000000000001" customHeight="1" x14ac:dyDescent="0.25">
      <c r="F165" s="14"/>
      <c r="G165" s="14"/>
      <c r="L165" s="14"/>
      <c r="M165" s="15"/>
      <c r="N165" s="16"/>
      <c r="O165" s="16"/>
      <c r="Y165" s="44" t="e">
        <f>INT(INDEX('Dados Consolidados'!$R$2:$R$1000000, MATCH(A165, 'Dados Consolidados'!$A$2:$A$1000000, 0)))</f>
        <v>#N/A</v>
      </c>
      <c r="Z165" s="44" t="e">
        <f>INT(INDEX('Dados Consolidados'!$S$2:$S$1000000, MATCH(B165, 'Dados Consolidados'!$B$2:$B$1000000, 0)))</f>
        <v>#N/A</v>
      </c>
      <c r="AA165" s="44" t="e">
        <f>INT(INDEX('Dados Consolidados'!$T$2:$T$1000000, MATCH(E165, 'Dados Consolidados'!$E$2:$E$1000000, 0)))</f>
        <v>#N/A</v>
      </c>
      <c r="AB165" s="44" t="e">
        <f>INT(INDEX('Dados Consolidados'!$U$2:$U$1000000, MATCH(H165, 'Dados Consolidados'!$H$2:$H$1000000, 0)))</f>
        <v>#N/A</v>
      </c>
      <c r="AC165" s="44" t="e">
        <f>INT(INDEX('Dados Consolidados'!$V$2:$V$1000000, MATCH(J165, 'Dados Consolidados'!$J$2:$J$1000000, 0)))</f>
        <v>#N/A</v>
      </c>
      <c r="AD165" s="44" t="e">
        <f>INT(INDEX('Dados Consolidados'!$X$2:$X$1000000, MATCH(K165, 'Dados Consolidados'!$K$2:$K$1000000, 0)))</f>
        <v>#N/A</v>
      </c>
      <c r="AE165" s="44" t="e">
        <f>INT(INDEX('Dados Consolidados'!$W$2:$W$1000000, MATCH(P165, 'Dados Consolidados'!$P$2:$P$1000000, 0)))</f>
        <v>#N/A</v>
      </c>
    </row>
    <row r="166" spans="6:31" ht="20.100000000000001" customHeight="1" x14ac:dyDescent="0.25">
      <c r="F166" s="14"/>
      <c r="G166" s="14"/>
      <c r="L166" s="14"/>
      <c r="M166" s="15"/>
      <c r="N166" s="16"/>
      <c r="O166" s="16"/>
      <c r="Y166" s="44" t="e">
        <f>INT(INDEX('Dados Consolidados'!$R$2:$R$1000000, MATCH(A166, 'Dados Consolidados'!$A$2:$A$1000000, 0)))</f>
        <v>#N/A</v>
      </c>
      <c r="Z166" s="44" t="e">
        <f>INT(INDEX('Dados Consolidados'!$S$2:$S$1000000, MATCH(B166, 'Dados Consolidados'!$B$2:$B$1000000, 0)))</f>
        <v>#N/A</v>
      </c>
      <c r="AA166" s="44" t="e">
        <f>INT(INDEX('Dados Consolidados'!$T$2:$T$1000000, MATCH(E166, 'Dados Consolidados'!$E$2:$E$1000000, 0)))</f>
        <v>#N/A</v>
      </c>
      <c r="AB166" s="44" t="e">
        <f>INT(INDEX('Dados Consolidados'!$U$2:$U$1000000, MATCH(H166, 'Dados Consolidados'!$H$2:$H$1000000, 0)))</f>
        <v>#N/A</v>
      </c>
      <c r="AC166" s="44" t="e">
        <f>INT(INDEX('Dados Consolidados'!$V$2:$V$1000000, MATCH(J166, 'Dados Consolidados'!$J$2:$J$1000000, 0)))</f>
        <v>#N/A</v>
      </c>
      <c r="AD166" s="44" t="e">
        <f>INT(INDEX('Dados Consolidados'!$X$2:$X$1000000, MATCH(K166, 'Dados Consolidados'!$K$2:$K$1000000, 0)))</f>
        <v>#N/A</v>
      </c>
      <c r="AE166" s="44" t="e">
        <f>INT(INDEX('Dados Consolidados'!$W$2:$W$1000000, MATCH(P166, 'Dados Consolidados'!$P$2:$P$1000000, 0)))</f>
        <v>#N/A</v>
      </c>
    </row>
    <row r="167" spans="6:31" ht="20.100000000000001" customHeight="1" x14ac:dyDescent="0.25">
      <c r="F167" s="14"/>
      <c r="G167" s="14"/>
      <c r="L167" s="14"/>
      <c r="M167" s="15"/>
      <c r="N167" s="16"/>
      <c r="O167" s="16"/>
      <c r="Y167" s="44" t="e">
        <f>INT(INDEX('Dados Consolidados'!$R$2:$R$1000000, MATCH(A167, 'Dados Consolidados'!$A$2:$A$1000000, 0)))</f>
        <v>#N/A</v>
      </c>
      <c r="Z167" s="44" t="e">
        <f>INT(INDEX('Dados Consolidados'!$S$2:$S$1000000, MATCH(B167, 'Dados Consolidados'!$B$2:$B$1000000, 0)))</f>
        <v>#N/A</v>
      </c>
      <c r="AA167" s="44" t="e">
        <f>INT(INDEX('Dados Consolidados'!$T$2:$T$1000000, MATCH(E167, 'Dados Consolidados'!$E$2:$E$1000000, 0)))</f>
        <v>#N/A</v>
      </c>
      <c r="AB167" s="44" t="e">
        <f>INT(INDEX('Dados Consolidados'!$U$2:$U$1000000, MATCH(H167, 'Dados Consolidados'!$H$2:$H$1000000, 0)))</f>
        <v>#N/A</v>
      </c>
      <c r="AC167" s="44" t="e">
        <f>INT(INDEX('Dados Consolidados'!$V$2:$V$1000000, MATCH(J167, 'Dados Consolidados'!$J$2:$J$1000000, 0)))</f>
        <v>#N/A</v>
      </c>
      <c r="AD167" s="44" t="e">
        <f>INT(INDEX('Dados Consolidados'!$X$2:$X$1000000, MATCH(K167, 'Dados Consolidados'!$K$2:$K$1000000, 0)))</f>
        <v>#N/A</v>
      </c>
      <c r="AE167" s="44" t="e">
        <f>INT(INDEX('Dados Consolidados'!$W$2:$W$1000000, MATCH(P167, 'Dados Consolidados'!$P$2:$P$1000000, 0)))</f>
        <v>#N/A</v>
      </c>
    </row>
    <row r="168" spans="6:31" ht="20.100000000000001" customHeight="1" x14ac:dyDescent="0.25">
      <c r="F168" s="14"/>
      <c r="G168" s="14"/>
      <c r="L168" s="14"/>
      <c r="M168" s="15"/>
      <c r="N168" s="16"/>
      <c r="O168" s="16"/>
      <c r="Y168" s="44" t="e">
        <f>INT(INDEX('Dados Consolidados'!$R$2:$R$1000000, MATCH(A168, 'Dados Consolidados'!$A$2:$A$1000000, 0)))</f>
        <v>#N/A</v>
      </c>
      <c r="Z168" s="44" t="e">
        <f>INT(INDEX('Dados Consolidados'!$S$2:$S$1000000, MATCH(B168, 'Dados Consolidados'!$B$2:$B$1000000, 0)))</f>
        <v>#N/A</v>
      </c>
      <c r="AA168" s="44" t="e">
        <f>INT(INDEX('Dados Consolidados'!$T$2:$T$1000000, MATCH(E168, 'Dados Consolidados'!$E$2:$E$1000000, 0)))</f>
        <v>#N/A</v>
      </c>
      <c r="AB168" s="44" t="e">
        <f>INT(INDEX('Dados Consolidados'!$U$2:$U$1000000, MATCH(H168, 'Dados Consolidados'!$H$2:$H$1000000, 0)))</f>
        <v>#N/A</v>
      </c>
      <c r="AC168" s="44" t="e">
        <f>INT(INDEX('Dados Consolidados'!$V$2:$V$1000000, MATCH(J168, 'Dados Consolidados'!$J$2:$J$1000000, 0)))</f>
        <v>#N/A</v>
      </c>
      <c r="AD168" s="44" t="e">
        <f>INT(INDEX('Dados Consolidados'!$X$2:$X$1000000, MATCH(K168, 'Dados Consolidados'!$K$2:$K$1000000, 0)))</f>
        <v>#N/A</v>
      </c>
      <c r="AE168" s="44" t="e">
        <f>INT(INDEX('Dados Consolidados'!$W$2:$W$1000000, MATCH(P168, 'Dados Consolidados'!$P$2:$P$1000000, 0)))</f>
        <v>#N/A</v>
      </c>
    </row>
    <row r="169" spans="6:31" ht="20.100000000000001" customHeight="1" x14ac:dyDescent="0.25">
      <c r="F169" s="14"/>
      <c r="G169" s="14"/>
      <c r="L169" s="14"/>
      <c r="M169" s="15"/>
      <c r="N169" s="16"/>
      <c r="O169" s="16"/>
      <c r="Y169" s="44" t="e">
        <f>INT(INDEX('Dados Consolidados'!$R$2:$R$1000000, MATCH(A169, 'Dados Consolidados'!$A$2:$A$1000000, 0)))</f>
        <v>#N/A</v>
      </c>
      <c r="Z169" s="44" t="e">
        <f>INT(INDEX('Dados Consolidados'!$S$2:$S$1000000, MATCH(B169, 'Dados Consolidados'!$B$2:$B$1000000, 0)))</f>
        <v>#N/A</v>
      </c>
      <c r="AA169" s="44" t="e">
        <f>INT(INDEX('Dados Consolidados'!$T$2:$T$1000000, MATCH(E169, 'Dados Consolidados'!$E$2:$E$1000000, 0)))</f>
        <v>#N/A</v>
      </c>
      <c r="AB169" s="44" t="e">
        <f>INT(INDEX('Dados Consolidados'!$U$2:$U$1000000, MATCH(H169, 'Dados Consolidados'!$H$2:$H$1000000, 0)))</f>
        <v>#N/A</v>
      </c>
      <c r="AC169" s="44" t="e">
        <f>INT(INDEX('Dados Consolidados'!$V$2:$V$1000000, MATCH(J169, 'Dados Consolidados'!$J$2:$J$1000000, 0)))</f>
        <v>#N/A</v>
      </c>
      <c r="AD169" s="44" t="e">
        <f>INT(INDEX('Dados Consolidados'!$X$2:$X$1000000, MATCH(K169, 'Dados Consolidados'!$K$2:$K$1000000, 0)))</f>
        <v>#N/A</v>
      </c>
      <c r="AE169" s="44" t="e">
        <f>INT(INDEX('Dados Consolidados'!$W$2:$W$1000000, MATCH(P169, 'Dados Consolidados'!$P$2:$P$1000000, 0)))</f>
        <v>#N/A</v>
      </c>
    </row>
    <row r="170" spans="6:31" ht="20.100000000000001" customHeight="1" x14ac:dyDescent="0.25">
      <c r="F170" s="14"/>
      <c r="G170" s="14"/>
      <c r="L170" s="14"/>
      <c r="M170" s="15"/>
      <c r="N170" s="16"/>
      <c r="O170" s="16"/>
      <c r="Y170" s="44" t="e">
        <f>INT(INDEX('Dados Consolidados'!$R$2:$R$1000000, MATCH(A170, 'Dados Consolidados'!$A$2:$A$1000000, 0)))</f>
        <v>#N/A</v>
      </c>
      <c r="Z170" s="44" t="e">
        <f>INT(INDEX('Dados Consolidados'!$S$2:$S$1000000, MATCH(B170, 'Dados Consolidados'!$B$2:$B$1000000, 0)))</f>
        <v>#N/A</v>
      </c>
      <c r="AA170" s="44" t="e">
        <f>INT(INDEX('Dados Consolidados'!$T$2:$T$1000000, MATCH(E170, 'Dados Consolidados'!$E$2:$E$1000000, 0)))</f>
        <v>#N/A</v>
      </c>
      <c r="AB170" s="44" t="e">
        <f>INT(INDEX('Dados Consolidados'!$U$2:$U$1000000, MATCH(H170, 'Dados Consolidados'!$H$2:$H$1000000, 0)))</f>
        <v>#N/A</v>
      </c>
      <c r="AC170" s="44" t="e">
        <f>INT(INDEX('Dados Consolidados'!$V$2:$V$1000000, MATCH(J170, 'Dados Consolidados'!$J$2:$J$1000000, 0)))</f>
        <v>#N/A</v>
      </c>
      <c r="AD170" s="44" t="e">
        <f>INT(INDEX('Dados Consolidados'!$X$2:$X$1000000, MATCH(K170, 'Dados Consolidados'!$K$2:$K$1000000, 0)))</f>
        <v>#N/A</v>
      </c>
      <c r="AE170" s="44" t="e">
        <f>INT(INDEX('Dados Consolidados'!$W$2:$W$1000000, MATCH(P170, 'Dados Consolidados'!$P$2:$P$1000000, 0)))</f>
        <v>#N/A</v>
      </c>
    </row>
    <row r="171" spans="6:31" ht="20.100000000000001" customHeight="1" x14ac:dyDescent="0.25">
      <c r="F171" s="14"/>
      <c r="G171" s="14"/>
      <c r="L171" s="14"/>
      <c r="M171" s="15"/>
      <c r="N171" s="16"/>
      <c r="O171" s="16"/>
      <c r="Y171" s="44" t="e">
        <f>INT(INDEX('Dados Consolidados'!$R$2:$R$1000000, MATCH(A171, 'Dados Consolidados'!$A$2:$A$1000000, 0)))</f>
        <v>#N/A</v>
      </c>
      <c r="Z171" s="44" t="e">
        <f>INT(INDEX('Dados Consolidados'!$S$2:$S$1000000, MATCH(B171, 'Dados Consolidados'!$B$2:$B$1000000, 0)))</f>
        <v>#N/A</v>
      </c>
      <c r="AA171" s="44" t="e">
        <f>INT(INDEX('Dados Consolidados'!$T$2:$T$1000000, MATCH(E171, 'Dados Consolidados'!$E$2:$E$1000000, 0)))</f>
        <v>#N/A</v>
      </c>
      <c r="AB171" s="44" t="e">
        <f>INT(INDEX('Dados Consolidados'!$U$2:$U$1000000, MATCH(H171, 'Dados Consolidados'!$H$2:$H$1000000, 0)))</f>
        <v>#N/A</v>
      </c>
      <c r="AC171" s="44" t="e">
        <f>INT(INDEX('Dados Consolidados'!$V$2:$V$1000000, MATCH(J171, 'Dados Consolidados'!$J$2:$J$1000000, 0)))</f>
        <v>#N/A</v>
      </c>
      <c r="AD171" s="44" t="e">
        <f>INT(INDEX('Dados Consolidados'!$X$2:$X$1000000, MATCH(K171, 'Dados Consolidados'!$K$2:$K$1000000, 0)))</f>
        <v>#N/A</v>
      </c>
      <c r="AE171" s="44" t="e">
        <f>INT(INDEX('Dados Consolidados'!$W$2:$W$1000000, MATCH(P171, 'Dados Consolidados'!$P$2:$P$1000000, 0)))</f>
        <v>#N/A</v>
      </c>
    </row>
    <row r="172" spans="6:31" ht="20.100000000000001" customHeight="1" x14ac:dyDescent="0.25">
      <c r="F172" s="14"/>
      <c r="G172" s="14"/>
      <c r="L172" s="14"/>
      <c r="M172" s="15"/>
      <c r="N172" s="16"/>
      <c r="O172" s="16"/>
      <c r="Y172" s="44" t="e">
        <f>INT(INDEX('Dados Consolidados'!$R$2:$R$1000000, MATCH(A172, 'Dados Consolidados'!$A$2:$A$1000000, 0)))</f>
        <v>#N/A</v>
      </c>
      <c r="Z172" s="44" t="e">
        <f>INT(INDEX('Dados Consolidados'!$S$2:$S$1000000, MATCH(B172, 'Dados Consolidados'!$B$2:$B$1000000, 0)))</f>
        <v>#N/A</v>
      </c>
      <c r="AA172" s="44" t="e">
        <f>INT(INDEX('Dados Consolidados'!$T$2:$T$1000000, MATCH(E172, 'Dados Consolidados'!$E$2:$E$1000000, 0)))</f>
        <v>#N/A</v>
      </c>
      <c r="AB172" s="44" t="e">
        <f>INT(INDEX('Dados Consolidados'!$U$2:$U$1000000, MATCH(H172, 'Dados Consolidados'!$H$2:$H$1000000, 0)))</f>
        <v>#N/A</v>
      </c>
      <c r="AC172" s="44" t="e">
        <f>INT(INDEX('Dados Consolidados'!$V$2:$V$1000000, MATCH(J172, 'Dados Consolidados'!$J$2:$J$1000000, 0)))</f>
        <v>#N/A</v>
      </c>
      <c r="AD172" s="44" t="e">
        <f>INT(INDEX('Dados Consolidados'!$X$2:$X$1000000, MATCH(K172, 'Dados Consolidados'!$K$2:$K$1000000, 0)))</f>
        <v>#N/A</v>
      </c>
      <c r="AE172" s="44" t="e">
        <f>INT(INDEX('Dados Consolidados'!$W$2:$W$1000000, MATCH(P172, 'Dados Consolidados'!$P$2:$P$1000000, 0)))</f>
        <v>#N/A</v>
      </c>
    </row>
    <row r="173" spans="6:31" ht="20.100000000000001" customHeight="1" x14ac:dyDescent="0.25">
      <c r="F173" s="14"/>
      <c r="G173" s="14"/>
      <c r="L173" s="14"/>
      <c r="M173" s="15"/>
      <c r="N173" s="16"/>
      <c r="O173" s="16"/>
      <c r="Y173" s="44" t="e">
        <f>INT(INDEX('Dados Consolidados'!$R$2:$R$1000000, MATCH(A173, 'Dados Consolidados'!$A$2:$A$1000000, 0)))</f>
        <v>#N/A</v>
      </c>
      <c r="Z173" s="44" t="e">
        <f>INT(INDEX('Dados Consolidados'!$S$2:$S$1000000, MATCH(B173, 'Dados Consolidados'!$B$2:$B$1000000, 0)))</f>
        <v>#N/A</v>
      </c>
      <c r="AA173" s="44" t="e">
        <f>INT(INDEX('Dados Consolidados'!$T$2:$T$1000000, MATCH(E173, 'Dados Consolidados'!$E$2:$E$1000000, 0)))</f>
        <v>#N/A</v>
      </c>
      <c r="AB173" s="44" t="e">
        <f>INT(INDEX('Dados Consolidados'!$U$2:$U$1000000, MATCH(H173, 'Dados Consolidados'!$H$2:$H$1000000, 0)))</f>
        <v>#N/A</v>
      </c>
      <c r="AC173" s="44" t="e">
        <f>INT(INDEX('Dados Consolidados'!$V$2:$V$1000000, MATCH(J173, 'Dados Consolidados'!$J$2:$J$1000000, 0)))</f>
        <v>#N/A</v>
      </c>
      <c r="AD173" s="44" t="e">
        <f>INT(INDEX('Dados Consolidados'!$X$2:$X$1000000, MATCH(K173, 'Dados Consolidados'!$K$2:$K$1000000, 0)))</f>
        <v>#N/A</v>
      </c>
      <c r="AE173" s="44" t="e">
        <f>INT(INDEX('Dados Consolidados'!$W$2:$W$1000000, MATCH(P173, 'Dados Consolidados'!$P$2:$P$1000000, 0)))</f>
        <v>#N/A</v>
      </c>
    </row>
    <row r="174" spans="6:31" ht="20.100000000000001" customHeight="1" x14ac:dyDescent="0.25">
      <c r="F174" s="14"/>
      <c r="G174" s="14"/>
      <c r="L174" s="14"/>
      <c r="M174" s="15"/>
      <c r="N174" s="16"/>
      <c r="O174" s="16"/>
      <c r="Y174" s="44" t="e">
        <f>INT(INDEX('Dados Consolidados'!$R$2:$R$1000000, MATCH(A174, 'Dados Consolidados'!$A$2:$A$1000000, 0)))</f>
        <v>#N/A</v>
      </c>
      <c r="Z174" s="44" t="e">
        <f>INT(INDEX('Dados Consolidados'!$S$2:$S$1000000, MATCH(B174, 'Dados Consolidados'!$B$2:$B$1000000, 0)))</f>
        <v>#N/A</v>
      </c>
      <c r="AA174" s="44" t="e">
        <f>INT(INDEX('Dados Consolidados'!$T$2:$T$1000000, MATCH(E174, 'Dados Consolidados'!$E$2:$E$1000000, 0)))</f>
        <v>#N/A</v>
      </c>
      <c r="AB174" s="44" t="e">
        <f>INT(INDEX('Dados Consolidados'!$U$2:$U$1000000, MATCH(H174, 'Dados Consolidados'!$H$2:$H$1000000, 0)))</f>
        <v>#N/A</v>
      </c>
      <c r="AC174" s="44" t="e">
        <f>INT(INDEX('Dados Consolidados'!$V$2:$V$1000000, MATCH(J174, 'Dados Consolidados'!$J$2:$J$1000000, 0)))</f>
        <v>#N/A</v>
      </c>
      <c r="AD174" s="44" t="e">
        <f>INT(INDEX('Dados Consolidados'!$X$2:$X$1000000, MATCH(K174, 'Dados Consolidados'!$K$2:$K$1000000, 0)))</f>
        <v>#N/A</v>
      </c>
      <c r="AE174" s="44" t="e">
        <f>INT(INDEX('Dados Consolidados'!$W$2:$W$1000000, MATCH(P174, 'Dados Consolidados'!$P$2:$P$1000000, 0)))</f>
        <v>#N/A</v>
      </c>
    </row>
    <row r="175" spans="6:31" ht="20.100000000000001" customHeight="1" x14ac:dyDescent="0.25">
      <c r="F175" s="14"/>
      <c r="G175" s="14"/>
      <c r="L175" s="14"/>
      <c r="M175" s="15"/>
      <c r="N175" s="16"/>
      <c r="O175" s="16"/>
      <c r="Y175" s="44" t="e">
        <f>INT(INDEX('Dados Consolidados'!$R$2:$R$1000000, MATCH(A175, 'Dados Consolidados'!$A$2:$A$1000000, 0)))</f>
        <v>#N/A</v>
      </c>
      <c r="Z175" s="44" t="e">
        <f>INT(INDEX('Dados Consolidados'!$S$2:$S$1000000, MATCH(B175, 'Dados Consolidados'!$B$2:$B$1000000, 0)))</f>
        <v>#N/A</v>
      </c>
      <c r="AA175" s="44" t="e">
        <f>INT(INDEX('Dados Consolidados'!$T$2:$T$1000000, MATCH(E175, 'Dados Consolidados'!$E$2:$E$1000000, 0)))</f>
        <v>#N/A</v>
      </c>
      <c r="AB175" s="44" t="e">
        <f>INT(INDEX('Dados Consolidados'!$U$2:$U$1000000, MATCH(H175, 'Dados Consolidados'!$H$2:$H$1000000, 0)))</f>
        <v>#N/A</v>
      </c>
      <c r="AC175" s="44" t="e">
        <f>INT(INDEX('Dados Consolidados'!$V$2:$V$1000000, MATCH(J175, 'Dados Consolidados'!$J$2:$J$1000000, 0)))</f>
        <v>#N/A</v>
      </c>
      <c r="AD175" s="44" t="e">
        <f>INT(INDEX('Dados Consolidados'!$X$2:$X$1000000, MATCH(K175, 'Dados Consolidados'!$K$2:$K$1000000, 0)))</f>
        <v>#N/A</v>
      </c>
      <c r="AE175" s="44" t="e">
        <f>INT(INDEX('Dados Consolidados'!$W$2:$W$1000000, MATCH(P175, 'Dados Consolidados'!$P$2:$P$1000000, 0)))</f>
        <v>#N/A</v>
      </c>
    </row>
    <row r="176" spans="6:31" ht="20.100000000000001" customHeight="1" x14ac:dyDescent="0.25">
      <c r="F176" s="14"/>
      <c r="G176" s="14"/>
      <c r="L176" s="14"/>
      <c r="M176" s="15"/>
      <c r="N176" s="16"/>
      <c r="O176" s="16"/>
      <c r="Y176" s="44" t="e">
        <f>INT(INDEX('Dados Consolidados'!$R$2:$R$1000000, MATCH(A176, 'Dados Consolidados'!$A$2:$A$1000000, 0)))</f>
        <v>#N/A</v>
      </c>
      <c r="Z176" s="44" t="e">
        <f>INT(INDEX('Dados Consolidados'!$S$2:$S$1000000, MATCH(B176, 'Dados Consolidados'!$B$2:$B$1000000, 0)))</f>
        <v>#N/A</v>
      </c>
      <c r="AA176" s="44" t="e">
        <f>INT(INDEX('Dados Consolidados'!$T$2:$T$1000000, MATCH(E176, 'Dados Consolidados'!$E$2:$E$1000000, 0)))</f>
        <v>#N/A</v>
      </c>
      <c r="AB176" s="44" t="e">
        <f>INT(INDEX('Dados Consolidados'!$U$2:$U$1000000, MATCH(H176, 'Dados Consolidados'!$H$2:$H$1000000, 0)))</f>
        <v>#N/A</v>
      </c>
      <c r="AC176" s="44" t="e">
        <f>INT(INDEX('Dados Consolidados'!$V$2:$V$1000000, MATCH(J176, 'Dados Consolidados'!$J$2:$J$1000000, 0)))</f>
        <v>#N/A</v>
      </c>
      <c r="AD176" s="44" t="e">
        <f>INT(INDEX('Dados Consolidados'!$X$2:$X$1000000, MATCH(K176, 'Dados Consolidados'!$K$2:$K$1000000, 0)))</f>
        <v>#N/A</v>
      </c>
      <c r="AE176" s="44" t="e">
        <f>INT(INDEX('Dados Consolidados'!$W$2:$W$1000000, MATCH(P176, 'Dados Consolidados'!$P$2:$P$1000000, 0)))</f>
        <v>#N/A</v>
      </c>
    </row>
    <row r="177" spans="6:31" ht="20.100000000000001" customHeight="1" x14ac:dyDescent="0.25">
      <c r="F177" s="14"/>
      <c r="G177" s="14"/>
      <c r="L177" s="14"/>
      <c r="M177" s="15"/>
      <c r="N177" s="16"/>
      <c r="O177" s="16"/>
      <c r="Y177" s="44" t="e">
        <f>INT(INDEX('Dados Consolidados'!$R$2:$R$1000000, MATCH(A177, 'Dados Consolidados'!$A$2:$A$1000000, 0)))</f>
        <v>#N/A</v>
      </c>
      <c r="Z177" s="44" t="e">
        <f>INT(INDEX('Dados Consolidados'!$S$2:$S$1000000, MATCH(B177, 'Dados Consolidados'!$B$2:$B$1000000, 0)))</f>
        <v>#N/A</v>
      </c>
      <c r="AA177" s="44" t="e">
        <f>INT(INDEX('Dados Consolidados'!$T$2:$T$1000000, MATCH(E177, 'Dados Consolidados'!$E$2:$E$1000000, 0)))</f>
        <v>#N/A</v>
      </c>
      <c r="AB177" s="44" t="e">
        <f>INT(INDEX('Dados Consolidados'!$U$2:$U$1000000, MATCH(H177, 'Dados Consolidados'!$H$2:$H$1000000, 0)))</f>
        <v>#N/A</v>
      </c>
      <c r="AC177" s="44" t="e">
        <f>INT(INDEX('Dados Consolidados'!$V$2:$V$1000000, MATCH(J177, 'Dados Consolidados'!$J$2:$J$1000000, 0)))</f>
        <v>#N/A</v>
      </c>
      <c r="AD177" s="44" t="e">
        <f>INT(INDEX('Dados Consolidados'!$X$2:$X$1000000, MATCH(K177, 'Dados Consolidados'!$K$2:$K$1000000, 0)))</f>
        <v>#N/A</v>
      </c>
      <c r="AE177" s="44" t="e">
        <f>INT(INDEX('Dados Consolidados'!$W$2:$W$1000000, MATCH(P177, 'Dados Consolidados'!$P$2:$P$1000000, 0)))</f>
        <v>#N/A</v>
      </c>
    </row>
    <row r="178" spans="6:31" ht="20.100000000000001" customHeight="1" x14ac:dyDescent="0.25">
      <c r="F178" s="14"/>
      <c r="G178" s="14"/>
      <c r="L178" s="14"/>
      <c r="M178" s="15"/>
      <c r="N178" s="16"/>
      <c r="O178" s="16"/>
      <c r="Y178" s="44" t="e">
        <f>INT(INDEX('Dados Consolidados'!$R$2:$R$1000000, MATCH(A178, 'Dados Consolidados'!$A$2:$A$1000000, 0)))</f>
        <v>#N/A</v>
      </c>
      <c r="Z178" s="44" t="e">
        <f>INT(INDEX('Dados Consolidados'!$S$2:$S$1000000, MATCH(B178, 'Dados Consolidados'!$B$2:$B$1000000, 0)))</f>
        <v>#N/A</v>
      </c>
      <c r="AA178" s="44" t="e">
        <f>INT(INDEX('Dados Consolidados'!$T$2:$T$1000000, MATCH(E178, 'Dados Consolidados'!$E$2:$E$1000000, 0)))</f>
        <v>#N/A</v>
      </c>
      <c r="AB178" s="44" t="e">
        <f>INT(INDEX('Dados Consolidados'!$U$2:$U$1000000, MATCH(H178, 'Dados Consolidados'!$H$2:$H$1000000, 0)))</f>
        <v>#N/A</v>
      </c>
      <c r="AC178" s="44" t="e">
        <f>INT(INDEX('Dados Consolidados'!$V$2:$V$1000000, MATCH(J178, 'Dados Consolidados'!$J$2:$J$1000000, 0)))</f>
        <v>#N/A</v>
      </c>
      <c r="AD178" s="44" t="e">
        <f>INT(INDEX('Dados Consolidados'!$X$2:$X$1000000, MATCH(K178, 'Dados Consolidados'!$K$2:$K$1000000, 0)))</f>
        <v>#N/A</v>
      </c>
      <c r="AE178" s="44" t="e">
        <f>INT(INDEX('Dados Consolidados'!$W$2:$W$1000000, MATCH(P178, 'Dados Consolidados'!$P$2:$P$1000000, 0)))</f>
        <v>#N/A</v>
      </c>
    </row>
    <row r="179" spans="6:31" ht="20.100000000000001" customHeight="1" x14ac:dyDescent="0.25">
      <c r="F179" s="14"/>
      <c r="G179" s="14"/>
      <c r="L179" s="14"/>
      <c r="M179" s="15"/>
      <c r="N179" s="16"/>
      <c r="O179" s="16"/>
      <c r="Y179" s="44" t="e">
        <f>INT(INDEX('Dados Consolidados'!$R$2:$R$1000000, MATCH(A179, 'Dados Consolidados'!$A$2:$A$1000000, 0)))</f>
        <v>#N/A</v>
      </c>
      <c r="Z179" s="44" t="e">
        <f>INT(INDEX('Dados Consolidados'!$S$2:$S$1000000, MATCH(B179, 'Dados Consolidados'!$B$2:$B$1000000, 0)))</f>
        <v>#N/A</v>
      </c>
      <c r="AA179" s="44" t="e">
        <f>INT(INDEX('Dados Consolidados'!$T$2:$T$1000000, MATCH(E179, 'Dados Consolidados'!$E$2:$E$1000000, 0)))</f>
        <v>#N/A</v>
      </c>
      <c r="AB179" s="44" t="e">
        <f>INT(INDEX('Dados Consolidados'!$U$2:$U$1000000, MATCH(H179, 'Dados Consolidados'!$H$2:$H$1000000, 0)))</f>
        <v>#N/A</v>
      </c>
      <c r="AC179" s="44" t="e">
        <f>INT(INDEX('Dados Consolidados'!$V$2:$V$1000000, MATCH(J179, 'Dados Consolidados'!$J$2:$J$1000000, 0)))</f>
        <v>#N/A</v>
      </c>
      <c r="AD179" s="44" t="e">
        <f>INT(INDEX('Dados Consolidados'!$X$2:$X$1000000, MATCH(K179, 'Dados Consolidados'!$K$2:$K$1000000, 0)))</f>
        <v>#N/A</v>
      </c>
      <c r="AE179" s="44" t="e">
        <f>INT(INDEX('Dados Consolidados'!$W$2:$W$1000000, MATCH(P179, 'Dados Consolidados'!$P$2:$P$1000000, 0)))</f>
        <v>#N/A</v>
      </c>
    </row>
    <row r="180" spans="6:31" ht="20.100000000000001" customHeight="1" x14ac:dyDescent="0.25">
      <c r="F180" s="14"/>
      <c r="G180" s="14"/>
      <c r="L180" s="14"/>
      <c r="M180" s="15"/>
      <c r="N180" s="16"/>
      <c r="O180" s="16"/>
      <c r="Y180" s="44" t="e">
        <f>INT(INDEX('Dados Consolidados'!$R$2:$R$1000000, MATCH(A180, 'Dados Consolidados'!$A$2:$A$1000000, 0)))</f>
        <v>#N/A</v>
      </c>
      <c r="Z180" s="44" t="e">
        <f>INT(INDEX('Dados Consolidados'!$S$2:$S$1000000, MATCH(B180, 'Dados Consolidados'!$B$2:$B$1000000, 0)))</f>
        <v>#N/A</v>
      </c>
      <c r="AA180" s="44" t="e">
        <f>INT(INDEX('Dados Consolidados'!$T$2:$T$1000000, MATCH(E180, 'Dados Consolidados'!$E$2:$E$1000000, 0)))</f>
        <v>#N/A</v>
      </c>
      <c r="AB180" s="44" t="e">
        <f>INT(INDEX('Dados Consolidados'!$U$2:$U$1000000, MATCH(H180, 'Dados Consolidados'!$H$2:$H$1000000, 0)))</f>
        <v>#N/A</v>
      </c>
      <c r="AC180" s="44" t="e">
        <f>INT(INDEX('Dados Consolidados'!$V$2:$V$1000000, MATCH(J180, 'Dados Consolidados'!$J$2:$J$1000000, 0)))</f>
        <v>#N/A</v>
      </c>
      <c r="AD180" s="44" t="e">
        <f>INT(INDEX('Dados Consolidados'!$X$2:$X$1000000, MATCH(K180, 'Dados Consolidados'!$K$2:$K$1000000, 0)))</f>
        <v>#N/A</v>
      </c>
      <c r="AE180" s="44" t="e">
        <f>INT(INDEX('Dados Consolidados'!$W$2:$W$1000000, MATCH(P180, 'Dados Consolidados'!$P$2:$P$1000000, 0)))</f>
        <v>#N/A</v>
      </c>
    </row>
    <row r="181" spans="6:31" ht="20.100000000000001" customHeight="1" x14ac:dyDescent="0.25">
      <c r="F181" s="14"/>
      <c r="G181" s="14"/>
      <c r="L181" s="14"/>
      <c r="M181" s="15"/>
      <c r="N181" s="16"/>
      <c r="O181" s="16"/>
      <c r="Y181" s="44" t="e">
        <f>INT(INDEX('Dados Consolidados'!$R$2:$R$1000000, MATCH(A181, 'Dados Consolidados'!$A$2:$A$1000000, 0)))</f>
        <v>#N/A</v>
      </c>
      <c r="Z181" s="44" t="e">
        <f>INT(INDEX('Dados Consolidados'!$S$2:$S$1000000, MATCH(B181, 'Dados Consolidados'!$B$2:$B$1000000, 0)))</f>
        <v>#N/A</v>
      </c>
      <c r="AA181" s="44" t="e">
        <f>INT(INDEX('Dados Consolidados'!$T$2:$T$1000000, MATCH(E181, 'Dados Consolidados'!$E$2:$E$1000000, 0)))</f>
        <v>#N/A</v>
      </c>
      <c r="AB181" s="44" t="e">
        <f>INT(INDEX('Dados Consolidados'!$U$2:$U$1000000, MATCH(H181, 'Dados Consolidados'!$H$2:$H$1000000, 0)))</f>
        <v>#N/A</v>
      </c>
      <c r="AC181" s="44" t="e">
        <f>INT(INDEX('Dados Consolidados'!$V$2:$V$1000000, MATCH(J181, 'Dados Consolidados'!$J$2:$J$1000000, 0)))</f>
        <v>#N/A</v>
      </c>
      <c r="AD181" s="44" t="e">
        <f>INT(INDEX('Dados Consolidados'!$X$2:$X$1000000, MATCH(K181, 'Dados Consolidados'!$K$2:$K$1000000, 0)))</f>
        <v>#N/A</v>
      </c>
      <c r="AE181" s="44" t="e">
        <f>INT(INDEX('Dados Consolidados'!$W$2:$W$1000000, MATCH(P181, 'Dados Consolidados'!$P$2:$P$1000000, 0)))</f>
        <v>#N/A</v>
      </c>
    </row>
    <row r="182" spans="6:31" ht="20.100000000000001" customHeight="1" x14ac:dyDescent="0.25">
      <c r="F182" s="14"/>
      <c r="G182" s="14"/>
      <c r="L182" s="14"/>
      <c r="M182" s="15"/>
      <c r="N182" s="16"/>
      <c r="O182" s="16"/>
      <c r="Y182" s="44" t="e">
        <f>INT(INDEX('Dados Consolidados'!$R$2:$R$1000000, MATCH(A182, 'Dados Consolidados'!$A$2:$A$1000000, 0)))</f>
        <v>#N/A</v>
      </c>
      <c r="Z182" s="44" t="e">
        <f>INT(INDEX('Dados Consolidados'!$S$2:$S$1000000, MATCH(B182, 'Dados Consolidados'!$B$2:$B$1000000, 0)))</f>
        <v>#N/A</v>
      </c>
      <c r="AA182" s="44" t="e">
        <f>INT(INDEX('Dados Consolidados'!$T$2:$T$1000000, MATCH(E182, 'Dados Consolidados'!$E$2:$E$1000000, 0)))</f>
        <v>#N/A</v>
      </c>
      <c r="AB182" s="44" t="e">
        <f>INT(INDEX('Dados Consolidados'!$U$2:$U$1000000, MATCH(H182, 'Dados Consolidados'!$H$2:$H$1000000, 0)))</f>
        <v>#N/A</v>
      </c>
      <c r="AC182" s="44" t="e">
        <f>INT(INDEX('Dados Consolidados'!$V$2:$V$1000000, MATCH(J182, 'Dados Consolidados'!$J$2:$J$1000000, 0)))</f>
        <v>#N/A</v>
      </c>
      <c r="AD182" s="44" t="e">
        <f>INT(INDEX('Dados Consolidados'!$X$2:$X$1000000, MATCH(K182, 'Dados Consolidados'!$K$2:$K$1000000, 0)))</f>
        <v>#N/A</v>
      </c>
      <c r="AE182" s="44" t="e">
        <f>INT(INDEX('Dados Consolidados'!$W$2:$W$1000000, MATCH(P182, 'Dados Consolidados'!$P$2:$P$1000000, 0)))</f>
        <v>#N/A</v>
      </c>
    </row>
    <row r="183" spans="6:31" ht="20.100000000000001" customHeight="1" x14ac:dyDescent="0.25">
      <c r="F183" s="14"/>
      <c r="G183" s="14"/>
      <c r="L183" s="14"/>
      <c r="M183" s="15"/>
      <c r="N183" s="16"/>
      <c r="O183" s="16"/>
      <c r="Y183" s="44" t="e">
        <f>INT(INDEX('Dados Consolidados'!$R$2:$R$1000000, MATCH(A183, 'Dados Consolidados'!$A$2:$A$1000000, 0)))</f>
        <v>#N/A</v>
      </c>
      <c r="Z183" s="44" t="e">
        <f>INT(INDEX('Dados Consolidados'!$S$2:$S$1000000, MATCH(B183, 'Dados Consolidados'!$B$2:$B$1000000, 0)))</f>
        <v>#N/A</v>
      </c>
      <c r="AA183" s="44" t="e">
        <f>INT(INDEX('Dados Consolidados'!$T$2:$T$1000000, MATCH(E183, 'Dados Consolidados'!$E$2:$E$1000000, 0)))</f>
        <v>#N/A</v>
      </c>
      <c r="AB183" s="44" t="e">
        <f>INT(INDEX('Dados Consolidados'!$U$2:$U$1000000, MATCH(H183, 'Dados Consolidados'!$H$2:$H$1000000, 0)))</f>
        <v>#N/A</v>
      </c>
      <c r="AC183" s="44" t="e">
        <f>INT(INDEX('Dados Consolidados'!$V$2:$V$1000000, MATCH(J183, 'Dados Consolidados'!$J$2:$J$1000000, 0)))</f>
        <v>#N/A</v>
      </c>
      <c r="AD183" s="44" t="e">
        <f>INT(INDEX('Dados Consolidados'!$X$2:$X$1000000, MATCH(K183, 'Dados Consolidados'!$K$2:$K$1000000, 0)))</f>
        <v>#N/A</v>
      </c>
      <c r="AE183" s="44" t="e">
        <f>INT(INDEX('Dados Consolidados'!$W$2:$W$1000000, MATCH(P183, 'Dados Consolidados'!$P$2:$P$1000000, 0)))</f>
        <v>#N/A</v>
      </c>
    </row>
    <row r="184" spans="6:31" ht="20.100000000000001" customHeight="1" x14ac:dyDescent="0.25">
      <c r="F184" s="14"/>
      <c r="G184" s="14"/>
      <c r="L184" s="14"/>
      <c r="M184" s="15"/>
      <c r="N184" s="16"/>
      <c r="O184" s="16"/>
      <c r="Y184" s="44" t="e">
        <f>INT(INDEX('Dados Consolidados'!$R$2:$R$1000000, MATCH(A184, 'Dados Consolidados'!$A$2:$A$1000000, 0)))</f>
        <v>#N/A</v>
      </c>
      <c r="Z184" s="44" t="e">
        <f>INT(INDEX('Dados Consolidados'!$S$2:$S$1000000, MATCH(B184, 'Dados Consolidados'!$B$2:$B$1000000, 0)))</f>
        <v>#N/A</v>
      </c>
      <c r="AA184" s="44" t="e">
        <f>INT(INDEX('Dados Consolidados'!$T$2:$T$1000000, MATCH(E184, 'Dados Consolidados'!$E$2:$E$1000000, 0)))</f>
        <v>#N/A</v>
      </c>
      <c r="AB184" s="44" t="e">
        <f>INT(INDEX('Dados Consolidados'!$U$2:$U$1000000, MATCH(H184, 'Dados Consolidados'!$H$2:$H$1000000, 0)))</f>
        <v>#N/A</v>
      </c>
      <c r="AC184" s="44" t="e">
        <f>INT(INDEX('Dados Consolidados'!$V$2:$V$1000000, MATCH(J184, 'Dados Consolidados'!$J$2:$J$1000000, 0)))</f>
        <v>#N/A</v>
      </c>
      <c r="AD184" s="44" t="e">
        <f>INT(INDEX('Dados Consolidados'!$X$2:$X$1000000, MATCH(K184, 'Dados Consolidados'!$K$2:$K$1000000, 0)))</f>
        <v>#N/A</v>
      </c>
      <c r="AE184" s="44" t="e">
        <f>INT(INDEX('Dados Consolidados'!$W$2:$W$1000000, MATCH(P184, 'Dados Consolidados'!$P$2:$P$1000000, 0)))</f>
        <v>#N/A</v>
      </c>
    </row>
    <row r="185" spans="6:31" ht="20.100000000000001" customHeight="1" x14ac:dyDescent="0.25">
      <c r="F185" s="14"/>
      <c r="G185" s="14"/>
      <c r="L185" s="14"/>
      <c r="M185" s="15"/>
      <c r="N185" s="16"/>
      <c r="O185" s="16"/>
      <c r="Y185" s="44" t="e">
        <f>INT(INDEX('Dados Consolidados'!$R$2:$R$1000000, MATCH(A185, 'Dados Consolidados'!$A$2:$A$1000000, 0)))</f>
        <v>#N/A</v>
      </c>
      <c r="Z185" s="44" t="e">
        <f>INT(INDEX('Dados Consolidados'!$S$2:$S$1000000, MATCH(B185, 'Dados Consolidados'!$B$2:$B$1000000, 0)))</f>
        <v>#N/A</v>
      </c>
      <c r="AA185" s="44" t="e">
        <f>INT(INDEX('Dados Consolidados'!$T$2:$T$1000000, MATCH(E185, 'Dados Consolidados'!$E$2:$E$1000000, 0)))</f>
        <v>#N/A</v>
      </c>
      <c r="AB185" s="44" t="e">
        <f>INT(INDEX('Dados Consolidados'!$U$2:$U$1000000, MATCH(H185, 'Dados Consolidados'!$H$2:$H$1000000, 0)))</f>
        <v>#N/A</v>
      </c>
      <c r="AC185" s="44" t="e">
        <f>INT(INDEX('Dados Consolidados'!$V$2:$V$1000000, MATCH(J185, 'Dados Consolidados'!$J$2:$J$1000000, 0)))</f>
        <v>#N/A</v>
      </c>
      <c r="AD185" s="44" t="e">
        <f>INT(INDEX('Dados Consolidados'!$X$2:$X$1000000, MATCH(K185, 'Dados Consolidados'!$K$2:$K$1000000, 0)))</f>
        <v>#N/A</v>
      </c>
      <c r="AE185" s="44" t="e">
        <f>INT(INDEX('Dados Consolidados'!$W$2:$W$1000000, MATCH(P185, 'Dados Consolidados'!$P$2:$P$1000000, 0)))</f>
        <v>#N/A</v>
      </c>
    </row>
    <row r="186" spans="6:31" ht="20.100000000000001" customHeight="1" x14ac:dyDescent="0.25">
      <c r="F186" s="14"/>
      <c r="G186" s="14"/>
      <c r="L186" s="14"/>
      <c r="M186" s="15"/>
      <c r="N186" s="16"/>
      <c r="O186" s="16"/>
      <c r="Y186" s="44" t="e">
        <f>INT(INDEX('Dados Consolidados'!$R$2:$R$1000000, MATCH(A186, 'Dados Consolidados'!$A$2:$A$1000000, 0)))</f>
        <v>#N/A</v>
      </c>
      <c r="Z186" s="44" t="e">
        <f>INT(INDEX('Dados Consolidados'!$S$2:$S$1000000, MATCH(B186, 'Dados Consolidados'!$B$2:$B$1000000, 0)))</f>
        <v>#N/A</v>
      </c>
      <c r="AA186" s="44" t="e">
        <f>INT(INDEX('Dados Consolidados'!$T$2:$T$1000000, MATCH(E186, 'Dados Consolidados'!$E$2:$E$1000000, 0)))</f>
        <v>#N/A</v>
      </c>
      <c r="AB186" s="44" t="e">
        <f>INT(INDEX('Dados Consolidados'!$U$2:$U$1000000, MATCH(H186, 'Dados Consolidados'!$H$2:$H$1000000, 0)))</f>
        <v>#N/A</v>
      </c>
      <c r="AC186" s="44" t="e">
        <f>INT(INDEX('Dados Consolidados'!$V$2:$V$1000000, MATCH(J186, 'Dados Consolidados'!$J$2:$J$1000000, 0)))</f>
        <v>#N/A</v>
      </c>
      <c r="AD186" s="44" t="e">
        <f>INT(INDEX('Dados Consolidados'!$X$2:$X$1000000, MATCH(K186, 'Dados Consolidados'!$K$2:$K$1000000, 0)))</f>
        <v>#N/A</v>
      </c>
      <c r="AE186" s="44" t="e">
        <f>INT(INDEX('Dados Consolidados'!$W$2:$W$1000000, MATCH(P186, 'Dados Consolidados'!$P$2:$P$1000000, 0)))</f>
        <v>#N/A</v>
      </c>
    </row>
    <row r="187" spans="6:31" ht="20.100000000000001" customHeight="1" x14ac:dyDescent="0.25">
      <c r="F187" s="14"/>
      <c r="G187" s="14"/>
      <c r="L187" s="14"/>
      <c r="M187" s="15"/>
      <c r="N187" s="16"/>
      <c r="O187" s="16"/>
      <c r="Y187" s="44" t="e">
        <f>INT(INDEX('Dados Consolidados'!$R$2:$R$1000000, MATCH(A187, 'Dados Consolidados'!$A$2:$A$1000000, 0)))</f>
        <v>#N/A</v>
      </c>
      <c r="Z187" s="44" t="e">
        <f>INT(INDEX('Dados Consolidados'!$S$2:$S$1000000, MATCH(B187, 'Dados Consolidados'!$B$2:$B$1000000, 0)))</f>
        <v>#N/A</v>
      </c>
      <c r="AA187" s="44" t="e">
        <f>INT(INDEX('Dados Consolidados'!$T$2:$T$1000000, MATCH(E187, 'Dados Consolidados'!$E$2:$E$1000000, 0)))</f>
        <v>#N/A</v>
      </c>
      <c r="AB187" s="44" t="e">
        <f>INT(INDEX('Dados Consolidados'!$U$2:$U$1000000, MATCH(H187, 'Dados Consolidados'!$H$2:$H$1000000, 0)))</f>
        <v>#N/A</v>
      </c>
      <c r="AC187" s="44" t="e">
        <f>INT(INDEX('Dados Consolidados'!$V$2:$V$1000000, MATCH(J187, 'Dados Consolidados'!$J$2:$J$1000000, 0)))</f>
        <v>#N/A</v>
      </c>
      <c r="AD187" s="44" t="e">
        <f>INT(INDEX('Dados Consolidados'!$X$2:$X$1000000, MATCH(K187, 'Dados Consolidados'!$K$2:$K$1000000, 0)))</f>
        <v>#N/A</v>
      </c>
      <c r="AE187" s="44" t="e">
        <f>INT(INDEX('Dados Consolidados'!$W$2:$W$1000000, MATCH(P187, 'Dados Consolidados'!$P$2:$P$1000000, 0)))</f>
        <v>#N/A</v>
      </c>
    </row>
    <row r="188" spans="6:31" ht="20.100000000000001" customHeight="1" x14ac:dyDescent="0.25">
      <c r="F188" s="14"/>
      <c r="G188" s="14"/>
      <c r="L188" s="14"/>
      <c r="M188" s="15"/>
      <c r="N188" s="16"/>
      <c r="O188" s="16"/>
      <c r="Y188" s="44" t="e">
        <f>INT(INDEX('Dados Consolidados'!$R$2:$R$1000000, MATCH(A188, 'Dados Consolidados'!$A$2:$A$1000000, 0)))</f>
        <v>#N/A</v>
      </c>
      <c r="Z188" s="44" t="e">
        <f>INT(INDEX('Dados Consolidados'!$S$2:$S$1000000, MATCH(B188, 'Dados Consolidados'!$B$2:$B$1000000, 0)))</f>
        <v>#N/A</v>
      </c>
      <c r="AA188" s="44" t="e">
        <f>INT(INDEX('Dados Consolidados'!$T$2:$T$1000000, MATCH(E188, 'Dados Consolidados'!$E$2:$E$1000000, 0)))</f>
        <v>#N/A</v>
      </c>
      <c r="AB188" s="44" t="e">
        <f>INT(INDEX('Dados Consolidados'!$U$2:$U$1000000, MATCH(H188, 'Dados Consolidados'!$H$2:$H$1000000, 0)))</f>
        <v>#N/A</v>
      </c>
      <c r="AC188" s="44" t="e">
        <f>INT(INDEX('Dados Consolidados'!$V$2:$V$1000000, MATCH(J188, 'Dados Consolidados'!$J$2:$J$1000000, 0)))</f>
        <v>#N/A</v>
      </c>
      <c r="AD188" s="44" t="e">
        <f>INT(INDEX('Dados Consolidados'!$X$2:$X$1000000, MATCH(K188, 'Dados Consolidados'!$K$2:$K$1000000, 0)))</f>
        <v>#N/A</v>
      </c>
      <c r="AE188" s="44" t="e">
        <f>INT(INDEX('Dados Consolidados'!$W$2:$W$1000000, MATCH(P188, 'Dados Consolidados'!$P$2:$P$1000000, 0)))</f>
        <v>#N/A</v>
      </c>
    </row>
    <row r="189" spans="6:31" ht="20.100000000000001" customHeight="1" x14ac:dyDescent="0.25">
      <c r="F189" s="14"/>
      <c r="G189" s="14"/>
      <c r="L189" s="14"/>
      <c r="M189" s="15"/>
      <c r="N189" s="16"/>
      <c r="O189" s="16"/>
      <c r="Y189" s="44" t="e">
        <f>INT(INDEX('Dados Consolidados'!$R$2:$R$1000000, MATCH(A189, 'Dados Consolidados'!$A$2:$A$1000000, 0)))</f>
        <v>#N/A</v>
      </c>
      <c r="Z189" s="44" t="e">
        <f>INT(INDEX('Dados Consolidados'!$S$2:$S$1000000, MATCH(B189, 'Dados Consolidados'!$B$2:$B$1000000, 0)))</f>
        <v>#N/A</v>
      </c>
      <c r="AA189" s="44" t="e">
        <f>INT(INDEX('Dados Consolidados'!$T$2:$T$1000000, MATCH(E189, 'Dados Consolidados'!$E$2:$E$1000000, 0)))</f>
        <v>#N/A</v>
      </c>
      <c r="AB189" s="44" t="e">
        <f>INT(INDEX('Dados Consolidados'!$U$2:$U$1000000, MATCH(H189, 'Dados Consolidados'!$H$2:$H$1000000, 0)))</f>
        <v>#N/A</v>
      </c>
      <c r="AC189" s="44" t="e">
        <f>INT(INDEX('Dados Consolidados'!$V$2:$V$1000000, MATCH(J189, 'Dados Consolidados'!$J$2:$J$1000000, 0)))</f>
        <v>#N/A</v>
      </c>
      <c r="AD189" s="44" t="e">
        <f>INT(INDEX('Dados Consolidados'!$X$2:$X$1000000, MATCH(K189, 'Dados Consolidados'!$K$2:$K$1000000, 0)))</f>
        <v>#N/A</v>
      </c>
      <c r="AE189" s="44" t="e">
        <f>INT(INDEX('Dados Consolidados'!$W$2:$W$1000000, MATCH(P189, 'Dados Consolidados'!$P$2:$P$1000000, 0)))</f>
        <v>#N/A</v>
      </c>
    </row>
    <row r="190" spans="6:31" ht="20.100000000000001" customHeight="1" x14ac:dyDescent="0.25">
      <c r="F190" s="14"/>
      <c r="G190" s="14"/>
      <c r="L190" s="14"/>
      <c r="M190" s="15"/>
      <c r="N190" s="16"/>
      <c r="O190" s="16"/>
      <c r="Y190" s="44" t="e">
        <f>INT(INDEX('Dados Consolidados'!$R$2:$R$1000000, MATCH(A190, 'Dados Consolidados'!$A$2:$A$1000000, 0)))</f>
        <v>#N/A</v>
      </c>
      <c r="Z190" s="44" t="e">
        <f>INT(INDEX('Dados Consolidados'!$S$2:$S$1000000, MATCH(B190, 'Dados Consolidados'!$B$2:$B$1000000, 0)))</f>
        <v>#N/A</v>
      </c>
      <c r="AA190" s="44" t="e">
        <f>INT(INDEX('Dados Consolidados'!$T$2:$T$1000000, MATCH(E190, 'Dados Consolidados'!$E$2:$E$1000000, 0)))</f>
        <v>#N/A</v>
      </c>
      <c r="AB190" s="44" t="e">
        <f>INT(INDEX('Dados Consolidados'!$U$2:$U$1000000, MATCH(H190, 'Dados Consolidados'!$H$2:$H$1000000, 0)))</f>
        <v>#N/A</v>
      </c>
      <c r="AC190" s="44" t="e">
        <f>INT(INDEX('Dados Consolidados'!$V$2:$V$1000000, MATCH(J190, 'Dados Consolidados'!$J$2:$J$1000000, 0)))</f>
        <v>#N/A</v>
      </c>
      <c r="AD190" s="44" t="e">
        <f>INT(INDEX('Dados Consolidados'!$X$2:$X$1000000, MATCH(K190, 'Dados Consolidados'!$K$2:$K$1000000, 0)))</f>
        <v>#N/A</v>
      </c>
      <c r="AE190" s="44" t="e">
        <f>INT(INDEX('Dados Consolidados'!$W$2:$W$1000000, MATCH(P190, 'Dados Consolidados'!$P$2:$P$1000000, 0)))</f>
        <v>#N/A</v>
      </c>
    </row>
    <row r="191" spans="6:31" ht="20.100000000000001" customHeight="1" x14ac:dyDescent="0.25">
      <c r="F191" s="14"/>
      <c r="G191" s="14"/>
      <c r="L191" s="14"/>
      <c r="M191" s="15"/>
      <c r="N191" s="16"/>
      <c r="O191" s="16"/>
      <c r="Y191" s="44" t="e">
        <f>INT(INDEX('Dados Consolidados'!$R$2:$R$1000000, MATCH(A191, 'Dados Consolidados'!$A$2:$A$1000000, 0)))</f>
        <v>#N/A</v>
      </c>
      <c r="Z191" s="44" t="e">
        <f>INT(INDEX('Dados Consolidados'!$S$2:$S$1000000, MATCH(B191, 'Dados Consolidados'!$B$2:$B$1000000, 0)))</f>
        <v>#N/A</v>
      </c>
      <c r="AA191" s="44" t="e">
        <f>INT(INDEX('Dados Consolidados'!$T$2:$T$1000000, MATCH(E191, 'Dados Consolidados'!$E$2:$E$1000000, 0)))</f>
        <v>#N/A</v>
      </c>
      <c r="AB191" s="44" t="e">
        <f>INT(INDEX('Dados Consolidados'!$U$2:$U$1000000, MATCH(H191, 'Dados Consolidados'!$H$2:$H$1000000, 0)))</f>
        <v>#N/A</v>
      </c>
      <c r="AC191" s="44" t="e">
        <f>INT(INDEX('Dados Consolidados'!$V$2:$V$1000000, MATCH(J191, 'Dados Consolidados'!$J$2:$J$1000000, 0)))</f>
        <v>#N/A</v>
      </c>
      <c r="AD191" s="44" t="e">
        <f>INT(INDEX('Dados Consolidados'!$X$2:$X$1000000, MATCH(K191, 'Dados Consolidados'!$K$2:$K$1000000, 0)))</f>
        <v>#N/A</v>
      </c>
      <c r="AE191" s="44" t="e">
        <f>INT(INDEX('Dados Consolidados'!$W$2:$W$1000000, MATCH(P191, 'Dados Consolidados'!$P$2:$P$1000000, 0)))</f>
        <v>#N/A</v>
      </c>
    </row>
    <row r="192" spans="6:31" ht="20.100000000000001" customHeight="1" x14ac:dyDescent="0.25">
      <c r="F192" s="14"/>
      <c r="G192" s="14"/>
      <c r="L192" s="14"/>
      <c r="M192" s="15"/>
      <c r="N192" s="16"/>
      <c r="O192" s="16"/>
      <c r="Y192" s="44" t="e">
        <f>INT(INDEX('Dados Consolidados'!$R$2:$R$1000000, MATCH(A192, 'Dados Consolidados'!$A$2:$A$1000000, 0)))</f>
        <v>#N/A</v>
      </c>
      <c r="Z192" s="44" t="e">
        <f>INT(INDEX('Dados Consolidados'!$S$2:$S$1000000, MATCH(B192, 'Dados Consolidados'!$B$2:$B$1000000, 0)))</f>
        <v>#N/A</v>
      </c>
      <c r="AA192" s="44" t="e">
        <f>INT(INDEX('Dados Consolidados'!$T$2:$T$1000000, MATCH(E192, 'Dados Consolidados'!$E$2:$E$1000000, 0)))</f>
        <v>#N/A</v>
      </c>
      <c r="AB192" s="44" t="e">
        <f>INT(INDEX('Dados Consolidados'!$U$2:$U$1000000, MATCH(H192, 'Dados Consolidados'!$H$2:$H$1000000, 0)))</f>
        <v>#N/A</v>
      </c>
      <c r="AC192" s="44" t="e">
        <f>INT(INDEX('Dados Consolidados'!$V$2:$V$1000000, MATCH(J192, 'Dados Consolidados'!$J$2:$J$1000000, 0)))</f>
        <v>#N/A</v>
      </c>
      <c r="AD192" s="44" t="e">
        <f>INT(INDEX('Dados Consolidados'!$X$2:$X$1000000, MATCH(K192, 'Dados Consolidados'!$K$2:$K$1000000, 0)))</f>
        <v>#N/A</v>
      </c>
      <c r="AE192" s="44" t="e">
        <f>INT(INDEX('Dados Consolidados'!$W$2:$W$1000000, MATCH(P192, 'Dados Consolidados'!$P$2:$P$1000000, 0)))</f>
        <v>#N/A</v>
      </c>
    </row>
    <row r="193" spans="6:31" ht="20.100000000000001" customHeight="1" x14ac:dyDescent="0.25">
      <c r="F193" s="14"/>
      <c r="G193" s="14"/>
      <c r="L193" s="14"/>
      <c r="M193" s="15"/>
      <c r="N193" s="16"/>
      <c r="O193" s="16"/>
      <c r="Y193" s="44" t="e">
        <f>INT(INDEX('Dados Consolidados'!$R$2:$R$1000000, MATCH(A193, 'Dados Consolidados'!$A$2:$A$1000000, 0)))</f>
        <v>#N/A</v>
      </c>
      <c r="Z193" s="44" t="e">
        <f>INT(INDEX('Dados Consolidados'!$S$2:$S$1000000, MATCH(B193, 'Dados Consolidados'!$B$2:$B$1000000, 0)))</f>
        <v>#N/A</v>
      </c>
      <c r="AA193" s="44" t="e">
        <f>INT(INDEX('Dados Consolidados'!$T$2:$T$1000000, MATCH(E193, 'Dados Consolidados'!$E$2:$E$1000000, 0)))</f>
        <v>#N/A</v>
      </c>
      <c r="AB193" s="44" t="e">
        <f>INT(INDEX('Dados Consolidados'!$U$2:$U$1000000, MATCH(H193, 'Dados Consolidados'!$H$2:$H$1000000, 0)))</f>
        <v>#N/A</v>
      </c>
      <c r="AC193" s="44" t="e">
        <f>INT(INDEX('Dados Consolidados'!$V$2:$V$1000000, MATCH(J193, 'Dados Consolidados'!$J$2:$J$1000000, 0)))</f>
        <v>#N/A</v>
      </c>
      <c r="AD193" s="44" t="e">
        <f>INT(INDEX('Dados Consolidados'!$X$2:$X$1000000, MATCH(K193, 'Dados Consolidados'!$K$2:$K$1000000, 0)))</f>
        <v>#N/A</v>
      </c>
      <c r="AE193" s="44" t="e">
        <f>INT(INDEX('Dados Consolidados'!$W$2:$W$1000000, MATCH(P193, 'Dados Consolidados'!$P$2:$P$1000000, 0)))</f>
        <v>#N/A</v>
      </c>
    </row>
    <row r="194" spans="6:31" ht="20.100000000000001" customHeight="1" x14ac:dyDescent="0.25">
      <c r="F194" s="14"/>
      <c r="G194" s="14"/>
      <c r="L194" s="14"/>
      <c r="M194" s="15"/>
      <c r="N194" s="16"/>
      <c r="O194" s="16"/>
      <c r="Y194" s="44" t="e">
        <f>INT(INDEX('Dados Consolidados'!$R$2:$R$1000000, MATCH(A194, 'Dados Consolidados'!$A$2:$A$1000000, 0)))</f>
        <v>#N/A</v>
      </c>
      <c r="Z194" s="44" t="e">
        <f>INT(INDEX('Dados Consolidados'!$S$2:$S$1000000, MATCH(B194, 'Dados Consolidados'!$B$2:$B$1000000, 0)))</f>
        <v>#N/A</v>
      </c>
      <c r="AA194" s="44" t="e">
        <f>INT(INDEX('Dados Consolidados'!$T$2:$T$1000000, MATCH(E194, 'Dados Consolidados'!$E$2:$E$1000000, 0)))</f>
        <v>#N/A</v>
      </c>
      <c r="AB194" s="44" t="e">
        <f>INT(INDEX('Dados Consolidados'!$U$2:$U$1000000, MATCH(H194, 'Dados Consolidados'!$H$2:$H$1000000, 0)))</f>
        <v>#N/A</v>
      </c>
      <c r="AC194" s="44" t="e">
        <f>INT(INDEX('Dados Consolidados'!$V$2:$V$1000000, MATCH(J194, 'Dados Consolidados'!$J$2:$J$1000000, 0)))</f>
        <v>#N/A</v>
      </c>
      <c r="AD194" s="44" t="e">
        <f>INT(INDEX('Dados Consolidados'!$X$2:$X$1000000, MATCH(K194, 'Dados Consolidados'!$K$2:$K$1000000, 0)))</f>
        <v>#N/A</v>
      </c>
      <c r="AE194" s="44" t="e">
        <f>INT(INDEX('Dados Consolidados'!$W$2:$W$1000000, MATCH(P194, 'Dados Consolidados'!$P$2:$P$1000000, 0)))</f>
        <v>#N/A</v>
      </c>
    </row>
    <row r="195" spans="6:31" ht="20.100000000000001" customHeight="1" x14ac:dyDescent="0.25">
      <c r="F195" s="14"/>
      <c r="G195" s="14"/>
      <c r="L195" s="14"/>
      <c r="M195" s="15"/>
      <c r="N195" s="16"/>
      <c r="O195" s="16"/>
      <c r="Y195" s="44" t="e">
        <f>INT(INDEX('Dados Consolidados'!$R$2:$R$1000000, MATCH(A195, 'Dados Consolidados'!$A$2:$A$1000000, 0)))</f>
        <v>#N/A</v>
      </c>
      <c r="Z195" s="44" t="e">
        <f>INT(INDEX('Dados Consolidados'!$S$2:$S$1000000, MATCH(B195, 'Dados Consolidados'!$B$2:$B$1000000, 0)))</f>
        <v>#N/A</v>
      </c>
      <c r="AA195" s="44" t="e">
        <f>INT(INDEX('Dados Consolidados'!$T$2:$T$1000000, MATCH(E195, 'Dados Consolidados'!$E$2:$E$1000000, 0)))</f>
        <v>#N/A</v>
      </c>
      <c r="AB195" s="44" t="e">
        <f>INT(INDEX('Dados Consolidados'!$U$2:$U$1000000, MATCH(H195, 'Dados Consolidados'!$H$2:$H$1000000, 0)))</f>
        <v>#N/A</v>
      </c>
      <c r="AC195" s="44" t="e">
        <f>INT(INDEX('Dados Consolidados'!$V$2:$V$1000000, MATCH(J195, 'Dados Consolidados'!$J$2:$J$1000000, 0)))</f>
        <v>#N/A</v>
      </c>
      <c r="AD195" s="44" t="e">
        <f>INT(INDEX('Dados Consolidados'!$X$2:$X$1000000, MATCH(K195, 'Dados Consolidados'!$K$2:$K$1000000, 0)))</f>
        <v>#N/A</v>
      </c>
      <c r="AE195" s="44" t="e">
        <f>INT(INDEX('Dados Consolidados'!$W$2:$W$1000000, MATCH(P195, 'Dados Consolidados'!$P$2:$P$1000000, 0)))</f>
        <v>#N/A</v>
      </c>
    </row>
    <row r="196" spans="6:31" ht="20.100000000000001" customHeight="1" x14ac:dyDescent="0.25">
      <c r="F196" s="14"/>
      <c r="G196" s="14"/>
      <c r="L196" s="14"/>
      <c r="M196" s="15"/>
      <c r="N196" s="16"/>
      <c r="O196" s="16"/>
      <c r="Y196" s="44" t="e">
        <f>INT(INDEX('Dados Consolidados'!$R$2:$R$1000000, MATCH(A196, 'Dados Consolidados'!$A$2:$A$1000000, 0)))</f>
        <v>#N/A</v>
      </c>
      <c r="Z196" s="44" t="e">
        <f>INT(INDEX('Dados Consolidados'!$S$2:$S$1000000, MATCH(B196, 'Dados Consolidados'!$B$2:$B$1000000, 0)))</f>
        <v>#N/A</v>
      </c>
      <c r="AA196" s="44" t="e">
        <f>INT(INDEX('Dados Consolidados'!$T$2:$T$1000000, MATCH(E196, 'Dados Consolidados'!$E$2:$E$1000000, 0)))</f>
        <v>#N/A</v>
      </c>
      <c r="AB196" s="44" t="e">
        <f>INT(INDEX('Dados Consolidados'!$U$2:$U$1000000, MATCH(H196, 'Dados Consolidados'!$H$2:$H$1000000, 0)))</f>
        <v>#N/A</v>
      </c>
      <c r="AC196" s="44" t="e">
        <f>INT(INDEX('Dados Consolidados'!$V$2:$V$1000000, MATCH(J196, 'Dados Consolidados'!$J$2:$J$1000000, 0)))</f>
        <v>#N/A</v>
      </c>
      <c r="AD196" s="44" t="e">
        <f>INT(INDEX('Dados Consolidados'!$X$2:$X$1000000, MATCH(K196, 'Dados Consolidados'!$K$2:$K$1000000, 0)))</f>
        <v>#N/A</v>
      </c>
      <c r="AE196" s="44" t="e">
        <f>INT(INDEX('Dados Consolidados'!$W$2:$W$1000000, MATCH(P196, 'Dados Consolidados'!$P$2:$P$1000000, 0)))</f>
        <v>#N/A</v>
      </c>
    </row>
    <row r="197" spans="6:31" ht="20.100000000000001" customHeight="1" x14ac:dyDescent="0.25">
      <c r="F197" s="14"/>
      <c r="G197" s="14"/>
      <c r="L197" s="14"/>
      <c r="M197" s="15"/>
      <c r="N197" s="16"/>
      <c r="O197" s="16"/>
      <c r="Y197" s="44" t="e">
        <f>INT(INDEX('Dados Consolidados'!$R$2:$R$1000000, MATCH(A197, 'Dados Consolidados'!$A$2:$A$1000000, 0)))</f>
        <v>#N/A</v>
      </c>
      <c r="Z197" s="44" t="e">
        <f>INT(INDEX('Dados Consolidados'!$S$2:$S$1000000, MATCH(B197, 'Dados Consolidados'!$B$2:$B$1000000, 0)))</f>
        <v>#N/A</v>
      </c>
      <c r="AA197" s="44" t="e">
        <f>INT(INDEX('Dados Consolidados'!$T$2:$T$1000000, MATCH(E197, 'Dados Consolidados'!$E$2:$E$1000000, 0)))</f>
        <v>#N/A</v>
      </c>
      <c r="AB197" s="44" t="e">
        <f>INT(INDEX('Dados Consolidados'!$U$2:$U$1000000, MATCH(H197, 'Dados Consolidados'!$H$2:$H$1000000, 0)))</f>
        <v>#N/A</v>
      </c>
      <c r="AC197" s="44" t="e">
        <f>INT(INDEX('Dados Consolidados'!$V$2:$V$1000000, MATCH(J197, 'Dados Consolidados'!$J$2:$J$1000000, 0)))</f>
        <v>#N/A</v>
      </c>
      <c r="AD197" s="44" t="e">
        <f>INT(INDEX('Dados Consolidados'!$X$2:$X$1000000, MATCH(K197, 'Dados Consolidados'!$K$2:$K$1000000, 0)))</f>
        <v>#N/A</v>
      </c>
      <c r="AE197" s="44" t="e">
        <f>INT(INDEX('Dados Consolidados'!$W$2:$W$1000000, MATCH(P197, 'Dados Consolidados'!$P$2:$P$1000000, 0)))</f>
        <v>#N/A</v>
      </c>
    </row>
    <row r="198" spans="6:31" ht="20.100000000000001" customHeight="1" x14ac:dyDescent="0.25">
      <c r="F198" s="14"/>
      <c r="G198" s="14"/>
      <c r="L198" s="14"/>
      <c r="M198" s="15"/>
      <c r="N198" s="16"/>
      <c r="O198" s="16"/>
      <c r="Y198" s="44" t="e">
        <f>INT(INDEX('Dados Consolidados'!$R$2:$R$1000000, MATCH(A198, 'Dados Consolidados'!$A$2:$A$1000000, 0)))</f>
        <v>#N/A</v>
      </c>
      <c r="Z198" s="44" t="e">
        <f>INT(INDEX('Dados Consolidados'!$S$2:$S$1000000, MATCH(B198, 'Dados Consolidados'!$B$2:$B$1000000, 0)))</f>
        <v>#N/A</v>
      </c>
      <c r="AA198" s="44" t="e">
        <f>INT(INDEX('Dados Consolidados'!$T$2:$T$1000000, MATCH(E198, 'Dados Consolidados'!$E$2:$E$1000000, 0)))</f>
        <v>#N/A</v>
      </c>
      <c r="AB198" s="44" t="e">
        <f>INT(INDEX('Dados Consolidados'!$U$2:$U$1000000, MATCH(H198, 'Dados Consolidados'!$H$2:$H$1000000, 0)))</f>
        <v>#N/A</v>
      </c>
      <c r="AC198" s="44" t="e">
        <f>INT(INDEX('Dados Consolidados'!$V$2:$V$1000000, MATCH(J198, 'Dados Consolidados'!$J$2:$J$1000000, 0)))</f>
        <v>#N/A</v>
      </c>
      <c r="AD198" s="44" t="e">
        <f>INT(INDEX('Dados Consolidados'!$X$2:$X$1000000, MATCH(K198, 'Dados Consolidados'!$K$2:$K$1000000, 0)))</f>
        <v>#N/A</v>
      </c>
      <c r="AE198" s="44" t="e">
        <f>INT(INDEX('Dados Consolidados'!$W$2:$W$1000000, MATCH(P198, 'Dados Consolidados'!$P$2:$P$1000000, 0)))</f>
        <v>#N/A</v>
      </c>
    </row>
    <row r="199" spans="6:31" ht="20.100000000000001" customHeight="1" x14ac:dyDescent="0.25">
      <c r="F199" s="14"/>
      <c r="G199" s="14"/>
      <c r="L199" s="14"/>
      <c r="M199" s="15"/>
      <c r="N199" s="16"/>
      <c r="O199" s="16"/>
      <c r="Y199" s="44" t="e">
        <f>INT(INDEX('Dados Consolidados'!$R$2:$R$1000000, MATCH(A199, 'Dados Consolidados'!$A$2:$A$1000000, 0)))</f>
        <v>#N/A</v>
      </c>
      <c r="Z199" s="44" t="e">
        <f>INT(INDEX('Dados Consolidados'!$S$2:$S$1000000, MATCH(B199, 'Dados Consolidados'!$B$2:$B$1000000, 0)))</f>
        <v>#N/A</v>
      </c>
      <c r="AA199" s="44" t="e">
        <f>INT(INDEX('Dados Consolidados'!$T$2:$T$1000000, MATCH(E199, 'Dados Consolidados'!$E$2:$E$1000000, 0)))</f>
        <v>#N/A</v>
      </c>
      <c r="AB199" s="44" t="e">
        <f>INT(INDEX('Dados Consolidados'!$U$2:$U$1000000, MATCH(H199, 'Dados Consolidados'!$H$2:$H$1000000, 0)))</f>
        <v>#N/A</v>
      </c>
      <c r="AC199" s="44" t="e">
        <f>INT(INDEX('Dados Consolidados'!$V$2:$V$1000000, MATCH(J199, 'Dados Consolidados'!$J$2:$J$1000000, 0)))</f>
        <v>#N/A</v>
      </c>
      <c r="AD199" s="44" t="e">
        <f>INT(INDEX('Dados Consolidados'!$X$2:$X$1000000, MATCH(K199, 'Dados Consolidados'!$K$2:$K$1000000, 0)))</f>
        <v>#N/A</v>
      </c>
      <c r="AE199" s="44" t="e">
        <f>INT(INDEX('Dados Consolidados'!$W$2:$W$1000000, MATCH(P199, 'Dados Consolidados'!$P$2:$P$1000000, 0)))</f>
        <v>#N/A</v>
      </c>
    </row>
    <row r="200" spans="6:31" ht="20.100000000000001" customHeight="1" x14ac:dyDescent="0.25">
      <c r="F200" s="14"/>
      <c r="G200" s="14"/>
      <c r="L200" s="14"/>
      <c r="M200" s="15"/>
      <c r="N200" s="16"/>
      <c r="O200" s="16"/>
      <c r="Y200" s="44" t="e">
        <f>INT(INDEX('Dados Consolidados'!$R$2:$R$1000000, MATCH(A200, 'Dados Consolidados'!$A$2:$A$1000000, 0)))</f>
        <v>#N/A</v>
      </c>
      <c r="Z200" s="44" t="e">
        <f>INT(INDEX('Dados Consolidados'!$S$2:$S$1000000, MATCH(B200, 'Dados Consolidados'!$B$2:$B$1000000, 0)))</f>
        <v>#N/A</v>
      </c>
      <c r="AA200" s="44" t="e">
        <f>INT(INDEX('Dados Consolidados'!$T$2:$T$1000000, MATCH(E200, 'Dados Consolidados'!$E$2:$E$1000000, 0)))</f>
        <v>#N/A</v>
      </c>
      <c r="AB200" s="44" t="e">
        <f>INT(INDEX('Dados Consolidados'!$U$2:$U$1000000, MATCH(H200, 'Dados Consolidados'!$H$2:$H$1000000, 0)))</f>
        <v>#N/A</v>
      </c>
      <c r="AC200" s="44" t="e">
        <f>INT(INDEX('Dados Consolidados'!$V$2:$V$1000000, MATCH(J200, 'Dados Consolidados'!$J$2:$J$1000000, 0)))</f>
        <v>#N/A</v>
      </c>
      <c r="AD200" s="44" t="e">
        <f>INT(INDEX('Dados Consolidados'!$X$2:$X$1000000, MATCH(K200, 'Dados Consolidados'!$K$2:$K$1000000, 0)))</f>
        <v>#N/A</v>
      </c>
      <c r="AE200" s="44" t="e">
        <f>INT(INDEX('Dados Consolidados'!$W$2:$W$1000000, MATCH(P200, 'Dados Consolidados'!$P$2:$P$1000000, 0)))</f>
        <v>#N/A</v>
      </c>
    </row>
    <row r="201" spans="6:31" ht="20.100000000000001" customHeight="1" x14ac:dyDescent="0.25">
      <c r="F201" s="14"/>
      <c r="G201" s="14"/>
      <c r="L201" s="14"/>
      <c r="M201" s="15"/>
      <c r="N201" s="16"/>
      <c r="O201" s="16"/>
      <c r="Y201" s="44" t="e">
        <f>INT(INDEX('Dados Consolidados'!$R$2:$R$1000000, MATCH(A201, 'Dados Consolidados'!$A$2:$A$1000000, 0)))</f>
        <v>#N/A</v>
      </c>
      <c r="Z201" s="44" t="e">
        <f>INT(INDEX('Dados Consolidados'!$S$2:$S$1000000, MATCH(B201, 'Dados Consolidados'!$B$2:$B$1000000, 0)))</f>
        <v>#N/A</v>
      </c>
      <c r="AA201" s="44" t="e">
        <f>INT(INDEX('Dados Consolidados'!$T$2:$T$1000000, MATCH(E201, 'Dados Consolidados'!$E$2:$E$1000000, 0)))</f>
        <v>#N/A</v>
      </c>
      <c r="AB201" s="44" t="e">
        <f>INT(INDEX('Dados Consolidados'!$U$2:$U$1000000, MATCH(H201, 'Dados Consolidados'!$H$2:$H$1000000, 0)))</f>
        <v>#N/A</v>
      </c>
      <c r="AC201" s="44" t="e">
        <f>INT(INDEX('Dados Consolidados'!$V$2:$V$1000000, MATCH(J201, 'Dados Consolidados'!$J$2:$J$1000000, 0)))</f>
        <v>#N/A</v>
      </c>
      <c r="AD201" s="44" t="e">
        <f>INT(INDEX('Dados Consolidados'!$X$2:$X$1000000, MATCH(K201, 'Dados Consolidados'!$K$2:$K$1000000, 0)))</f>
        <v>#N/A</v>
      </c>
      <c r="AE201" s="44" t="e">
        <f>INT(INDEX('Dados Consolidados'!$W$2:$W$1000000, MATCH(P201, 'Dados Consolidados'!$P$2:$P$1000000, 0)))</f>
        <v>#N/A</v>
      </c>
    </row>
    <row r="202" spans="6:31" ht="15" customHeight="1" x14ac:dyDescent="0.25"/>
    <row r="203" spans="6:31" ht="15" customHeight="1" x14ac:dyDescent="0.25"/>
    <row r="204" spans="6:31" ht="15" customHeight="1" x14ac:dyDescent="0.25"/>
    <row r="205" spans="6:31" ht="15" customHeight="1" x14ac:dyDescent="0.25"/>
    <row r="206" spans="6:31" ht="15" customHeight="1" x14ac:dyDescent="0.25"/>
    <row r="207" spans="6:31" ht="15" customHeight="1" x14ac:dyDescent="0.25"/>
    <row r="208" spans="6:31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x14ac:dyDescent="0.25"/>
    <row r="330" ht="15" x14ac:dyDescent="0.25"/>
    <row r="331" ht="15" x14ac:dyDescent="0.25"/>
    <row r="332" ht="15" x14ac:dyDescent="0.25"/>
    <row r="333" ht="15" x14ac:dyDescent="0.25"/>
    <row r="334" ht="15" x14ac:dyDescent="0.25"/>
    <row r="335" ht="15" x14ac:dyDescent="0.25"/>
    <row r="336" ht="15" x14ac:dyDescent="0.25"/>
    <row r="337" ht="15" x14ac:dyDescent="0.25"/>
    <row r="338" ht="15" x14ac:dyDescent="0.25"/>
    <row r="339" ht="15" x14ac:dyDescent="0.25"/>
    <row r="340" ht="15" x14ac:dyDescent="0.25"/>
    <row r="341" ht="15" x14ac:dyDescent="0.25"/>
    <row r="342" ht="15" x14ac:dyDescent="0.25"/>
    <row r="343" ht="15" x14ac:dyDescent="0.25"/>
    <row r="344" ht="15" x14ac:dyDescent="0.25"/>
    <row r="345" ht="15" x14ac:dyDescent="0.25"/>
    <row r="346" ht="15" x14ac:dyDescent="0.25"/>
    <row r="347" ht="15" x14ac:dyDescent="0.25"/>
    <row r="348" ht="15" x14ac:dyDescent="0.25"/>
    <row r="349" ht="15" x14ac:dyDescent="0.25"/>
    <row r="350" ht="15" x14ac:dyDescent="0.25"/>
    <row r="351" ht="15" x14ac:dyDescent="0.25"/>
    <row r="352" ht="15" x14ac:dyDescent="0.25"/>
    <row r="353" ht="15" x14ac:dyDescent="0.25"/>
    <row r="354" ht="15" x14ac:dyDescent="0.25"/>
    <row r="355" ht="15" x14ac:dyDescent="0.25"/>
    <row r="356" ht="15" x14ac:dyDescent="0.25"/>
    <row r="357" ht="15" x14ac:dyDescent="0.25"/>
    <row r="358" ht="15" x14ac:dyDescent="0.25"/>
    <row r="359" ht="15" x14ac:dyDescent="0.25"/>
    <row r="360" ht="15" x14ac:dyDescent="0.25"/>
    <row r="361" ht="15" x14ac:dyDescent="0.25"/>
    <row r="362" ht="15" x14ac:dyDescent="0.25"/>
    <row r="363" ht="15" x14ac:dyDescent="0.25"/>
    <row r="364" ht="15" x14ac:dyDescent="0.25"/>
    <row r="365" ht="15" x14ac:dyDescent="0.25"/>
    <row r="366" ht="15" x14ac:dyDescent="0.25"/>
    <row r="367" ht="15" x14ac:dyDescent="0.25"/>
    <row r="368" ht="15" x14ac:dyDescent="0.25"/>
    <row r="369" ht="15" x14ac:dyDescent="0.25"/>
    <row r="370" ht="15" x14ac:dyDescent="0.25"/>
    <row r="371" ht="15" x14ac:dyDescent="0.25"/>
    <row r="372" ht="15" x14ac:dyDescent="0.25"/>
    <row r="373" ht="15" x14ac:dyDescent="0.25"/>
    <row r="374" ht="15" x14ac:dyDescent="0.25"/>
    <row r="375" ht="15" x14ac:dyDescent="0.25"/>
    <row r="376" ht="15" x14ac:dyDescent="0.25"/>
    <row r="377" ht="15" x14ac:dyDescent="0.25"/>
    <row r="378" ht="15" x14ac:dyDescent="0.25"/>
    <row r="379" ht="15" x14ac:dyDescent="0.25"/>
    <row r="380" ht="15" x14ac:dyDescent="0.25"/>
    <row r="381" ht="15" x14ac:dyDescent="0.25"/>
    <row r="382" ht="15" x14ac:dyDescent="0.25"/>
    <row r="383" ht="15" x14ac:dyDescent="0.25"/>
    <row r="384" ht="15" x14ac:dyDescent="0.25"/>
    <row r="385" ht="15" x14ac:dyDescent="0.25"/>
    <row r="386" ht="15" x14ac:dyDescent="0.25"/>
    <row r="387" ht="15" x14ac:dyDescent="0.25"/>
    <row r="388" ht="15" x14ac:dyDescent="0.25"/>
    <row r="389" ht="15" x14ac:dyDescent="0.25"/>
    <row r="390" ht="15" x14ac:dyDescent="0.25"/>
    <row r="391" ht="15" x14ac:dyDescent="0.25"/>
    <row r="392" ht="15" x14ac:dyDescent="0.25"/>
    <row r="393" ht="15" x14ac:dyDescent="0.25"/>
    <row r="394" ht="15" x14ac:dyDescent="0.25"/>
    <row r="395" ht="15" x14ac:dyDescent="0.25"/>
    <row r="396" ht="15" x14ac:dyDescent="0.25"/>
    <row r="397" ht="15" x14ac:dyDescent="0.25"/>
    <row r="398" ht="15" x14ac:dyDescent="0.25"/>
    <row r="399" ht="15" x14ac:dyDescent="0.25"/>
    <row r="400" ht="15" x14ac:dyDescent="0.25"/>
    <row r="401" ht="15" x14ac:dyDescent="0.25"/>
    <row r="402" ht="15" x14ac:dyDescent="0.25"/>
    <row r="403" ht="15" x14ac:dyDescent="0.25"/>
    <row r="404" ht="15" x14ac:dyDescent="0.25"/>
    <row r="405" ht="15" x14ac:dyDescent="0.25"/>
    <row r="406" ht="15" x14ac:dyDescent="0.25"/>
    <row r="407" ht="15" x14ac:dyDescent="0.25"/>
    <row r="408" ht="15" x14ac:dyDescent="0.25"/>
    <row r="409" ht="15" x14ac:dyDescent="0.25"/>
    <row r="410" ht="15" x14ac:dyDescent="0.25"/>
    <row r="411" ht="15" x14ac:dyDescent="0.25"/>
    <row r="412" ht="15" x14ac:dyDescent="0.25"/>
    <row r="413" ht="15" x14ac:dyDescent="0.25"/>
    <row r="414" ht="15" x14ac:dyDescent="0.25"/>
    <row r="415" ht="15" x14ac:dyDescent="0.25"/>
    <row r="416" ht="15" x14ac:dyDescent="0.25"/>
    <row r="417" ht="15" x14ac:dyDescent="0.25"/>
    <row r="418" ht="15" x14ac:dyDescent="0.25"/>
    <row r="419" ht="15" x14ac:dyDescent="0.25"/>
    <row r="420" ht="15" x14ac:dyDescent="0.25"/>
    <row r="421" ht="15" x14ac:dyDescent="0.25"/>
    <row r="422" ht="15" x14ac:dyDescent="0.25"/>
    <row r="423" ht="15" x14ac:dyDescent="0.25"/>
    <row r="424" ht="15" x14ac:dyDescent="0.25"/>
    <row r="425" ht="15" x14ac:dyDescent="0.25"/>
    <row r="426" ht="15" x14ac:dyDescent="0.25"/>
    <row r="427" ht="15" x14ac:dyDescent="0.25"/>
    <row r="428" ht="15" x14ac:dyDescent="0.25"/>
    <row r="429" ht="15" x14ac:dyDescent="0.25"/>
    <row r="430" ht="15" x14ac:dyDescent="0.25"/>
    <row r="431" ht="15" x14ac:dyDescent="0.25"/>
    <row r="432" ht="15" x14ac:dyDescent="0.25"/>
    <row r="433" ht="15" x14ac:dyDescent="0.25"/>
    <row r="434" ht="15" x14ac:dyDescent="0.25"/>
    <row r="435" ht="15" x14ac:dyDescent="0.25"/>
    <row r="436" ht="15" x14ac:dyDescent="0.25"/>
    <row r="437" ht="15" x14ac:dyDescent="0.25"/>
    <row r="438" ht="15" x14ac:dyDescent="0.25"/>
    <row r="439" ht="15" x14ac:dyDescent="0.25"/>
    <row r="440" ht="15" x14ac:dyDescent="0.25"/>
    <row r="441" ht="15" x14ac:dyDescent="0.25"/>
    <row r="442" ht="15" x14ac:dyDescent="0.25"/>
    <row r="443" ht="15" x14ac:dyDescent="0.25"/>
    <row r="444" ht="15" x14ac:dyDescent="0.25"/>
    <row r="445" ht="15" x14ac:dyDescent="0.25"/>
    <row r="446" ht="15" x14ac:dyDescent="0.25"/>
    <row r="447" ht="15" x14ac:dyDescent="0.25"/>
    <row r="448" ht="15" x14ac:dyDescent="0.25"/>
    <row r="449" ht="15" x14ac:dyDescent="0.25"/>
    <row r="450" ht="15" x14ac:dyDescent="0.25"/>
    <row r="451" ht="15" x14ac:dyDescent="0.25"/>
    <row r="452" ht="15" x14ac:dyDescent="0.25"/>
    <row r="453" ht="15" x14ac:dyDescent="0.25"/>
    <row r="454" ht="15" x14ac:dyDescent="0.25"/>
    <row r="455" ht="15" x14ac:dyDescent="0.25"/>
    <row r="456" ht="15" x14ac:dyDescent="0.25"/>
    <row r="457" ht="15" x14ac:dyDescent="0.25"/>
    <row r="458" ht="15" x14ac:dyDescent="0.25"/>
    <row r="459" ht="15" x14ac:dyDescent="0.25"/>
    <row r="460" ht="15" x14ac:dyDescent="0.25"/>
    <row r="461" ht="15" x14ac:dyDescent="0.25"/>
    <row r="462" ht="15" x14ac:dyDescent="0.25"/>
    <row r="463" ht="15" x14ac:dyDescent="0.25"/>
    <row r="464" ht="15" x14ac:dyDescent="0.25"/>
    <row r="465" ht="15" x14ac:dyDescent="0.25"/>
    <row r="466" ht="15" x14ac:dyDescent="0.25"/>
    <row r="467" ht="15" x14ac:dyDescent="0.25"/>
    <row r="468" ht="15" x14ac:dyDescent="0.25"/>
    <row r="469" ht="15" x14ac:dyDescent="0.25"/>
    <row r="470" ht="15" x14ac:dyDescent="0.25"/>
    <row r="471" ht="15" x14ac:dyDescent="0.25"/>
    <row r="472" ht="15" x14ac:dyDescent="0.25"/>
    <row r="473" ht="15" x14ac:dyDescent="0.25"/>
    <row r="474" ht="15" x14ac:dyDescent="0.25"/>
    <row r="475" ht="15" x14ac:dyDescent="0.25"/>
    <row r="476" ht="15" x14ac:dyDescent="0.25"/>
    <row r="477" ht="15" x14ac:dyDescent="0.25"/>
    <row r="478" ht="15" x14ac:dyDescent="0.25"/>
    <row r="479" ht="15" x14ac:dyDescent="0.25"/>
    <row r="480" ht="15" x14ac:dyDescent="0.25"/>
    <row r="481" ht="15" x14ac:dyDescent="0.25"/>
    <row r="482" ht="15" x14ac:dyDescent="0.25"/>
    <row r="483" ht="15" x14ac:dyDescent="0.25"/>
    <row r="484" ht="15" x14ac:dyDescent="0.25"/>
    <row r="485" ht="15" x14ac:dyDescent="0.25"/>
    <row r="486" ht="15" x14ac:dyDescent="0.25"/>
    <row r="487" ht="15" x14ac:dyDescent="0.25"/>
    <row r="488" ht="15" x14ac:dyDescent="0.25"/>
    <row r="489" ht="15" x14ac:dyDescent="0.25"/>
    <row r="490" ht="15" x14ac:dyDescent="0.25"/>
    <row r="491" ht="15" x14ac:dyDescent="0.25"/>
    <row r="492" ht="15" x14ac:dyDescent="0.25"/>
    <row r="493" ht="15" x14ac:dyDescent="0.25"/>
    <row r="494" ht="15" x14ac:dyDescent="0.25"/>
    <row r="495" ht="15" x14ac:dyDescent="0.25"/>
    <row r="496" ht="15" x14ac:dyDescent="0.25"/>
    <row r="497" ht="15" x14ac:dyDescent="0.25"/>
    <row r="498" ht="15" x14ac:dyDescent="0.25"/>
    <row r="499" ht="15" x14ac:dyDescent="0.25"/>
    <row r="500" ht="15" x14ac:dyDescent="0.25"/>
    <row r="501" ht="15" x14ac:dyDescent="0.25"/>
    <row r="502" ht="15" x14ac:dyDescent="0.25"/>
    <row r="503" ht="15" x14ac:dyDescent="0.25"/>
    <row r="504" ht="15" x14ac:dyDescent="0.25"/>
    <row r="505" ht="15" x14ac:dyDescent="0.25"/>
    <row r="506" ht="15" x14ac:dyDescent="0.25"/>
    <row r="507" ht="15" x14ac:dyDescent="0.25"/>
    <row r="508" ht="15" x14ac:dyDescent="0.25"/>
    <row r="509" ht="15" x14ac:dyDescent="0.25"/>
    <row r="510" ht="15" x14ac:dyDescent="0.25"/>
    <row r="511" ht="15" x14ac:dyDescent="0.25"/>
    <row r="512" ht="15" x14ac:dyDescent="0.25"/>
    <row r="513" ht="15" x14ac:dyDescent="0.25"/>
    <row r="514" ht="15" x14ac:dyDescent="0.25"/>
    <row r="515" ht="15" x14ac:dyDescent="0.25"/>
    <row r="516" ht="15" x14ac:dyDescent="0.25"/>
    <row r="517" ht="15" x14ac:dyDescent="0.25"/>
    <row r="518" ht="15" x14ac:dyDescent="0.25"/>
    <row r="519" ht="15" x14ac:dyDescent="0.25"/>
    <row r="520" ht="15" x14ac:dyDescent="0.25"/>
    <row r="521" ht="15" x14ac:dyDescent="0.25"/>
    <row r="522" ht="15" x14ac:dyDescent="0.25"/>
    <row r="523" ht="15" x14ac:dyDescent="0.25"/>
    <row r="524" ht="15" x14ac:dyDescent="0.25"/>
    <row r="525" ht="15" x14ac:dyDescent="0.25"/>
    <row r="526" ht="15" x14ac:dyDescent="0.25"/>
    <row r="527" ht="15" x14ac:dyDescent="0.25"/>
    <row r="528" ht="15" x14ac:dyDescent="0.25"/>
    <row r="529" ht="15" x14ac:dyDescent="0.25"/>
    <row r="530" ht="15" x14ac:dyDescent="0.25"/>
    <row r="531" ht="15" x14ac:dyDescent="0.25"/>
    <row r="532" ht="15" x14ac:dyDescent="0.25"/>
    <row r="533" ht="15" x14ac:dyDescent="0.25"/>
    <row r="534" ht="15" x14ac:dyDescent="0.25"/>
    <row r="535" ht="15" x14ac:dyDescent="0.25"/>
    <row r="536" ht="15" x14ac:dyDescent="0.25"/>
    <row r="537" ht="15" x14ac:dyDescent="0.25"/>
    <row r="538" ht="15" x14ac:dyDescent="0.25"/>
    <row r="539" ht="15" x14ac:dyDescent="0.25"/>
    <row r="540" ht="15" x14ac:dyDescent="0.25"/>
    <row r="541" ht="15" x14ac:dyDescent="0.25"/>
    <row r="542" ht="15" x14ac:dyDescent="0.25"/>
    <row r="543" ht="15" x14ac:dyDescent="0.25"/>
    <row r="544" ht="15" x14ac:dyDescent="0.25"/>
    <row r="545" ht="15" x14ac:dyDescent="0.25"/>
    <row r="546" ht="15" x14ac:dyDescent="0.25"/>
    <row r="547" ht="15" x14ac:dyDescent="0.25"/>
    <row r="548" ht="15" x14ac:dyDescent="0.25"/>
    <row r="549" ht="15" x14ac:dyDescent="0.25"/>
    <row r="550" ht="15" x14ac:dyDescent="0.25"/>
    <row r="551" ht="15" x14ac:dyDescent="0.25"/>
    <row r="552" ht="15" x14ac:dyDescent="0.25"/>
    <row r="553" ht="15" x14ac:dyDescent="0.25"/>
    <row r="554" ht="15" x14ac:dyDescent="0.25"/>
    <row r="555" ht="15" x14ac:dyDescent="0.25"/>
    <row r="556" ht="15" x14ac:dyDescent="0.25"/>
    <row r="557" ht="15" x14ac:dyDescent="0.25"/>
    <row r="558" ht="15" x14ac:dyDescent="0.25"/>
    <row r="559" ht="15" x14ac:dyDescent="0.25"/>
    <row r="560" ht="15" x14ac:dyDescent="0.25"/>
    <row r="561" ht="15" x14ac:dyDescent="0.25"/>
    <row r="562" ht="15" x14ac:dyDescent="0.25"/>
    <row r="563" ht="15" x14ac:dyDescent="0.25"/>
    <row r="564" ht="15" x14ac:dyDescent="0.25"/>
    <row r="565" ht="15" x14ac:dyDescent="0.25"/>
    <row r="566" ht="15" x14ac:dyDescent="0.25"/>
    <row r="567" ht="15" x14ac:dyDescent="0.25"/>
    <row r="568" ht="15" x14ac:dyDescent="0.25"/>
    <row r="569" ht="15" x14ac:dyDescent="0.25"/>
    <row r="570" ht="15" x14ac:dyDescent="0.25"/>
    <row r="571" ht="15" x14ac:dyDescent="0.25"/>
    <row r="572" ht="15" x14ac:dyDescent="0.25"/>
    <row r="573" ht="15" x14ac:dyDescent="0.25"/>
    <row r="574" ht="15" x14ac:dyDescent="0.25"/>
    <row r="575" ht="15" x14ac:dyDescent="0.25"/>
    <row r="576" ht="15" x14ac:dyDescent="0.25"/>
    <row r="577" ht="15" x14ac:dyDescent="0.25"/>
    <row r="578" ht="15" x14ac:dyDescent="0.25"/>
    <row r="579" ht="15" x14ac:dyDescent="0.25"/>
    <row r="580" ht="15" x14ac:dyDescent="0.25"/>
    <row r="581" ht="15" x14ac:dyDescent="0.25"/>
    <row r="582" ht="15" x14ac:dyDescent="0.25"/>
    <row r="583" ht="15" x14ac:dyDescent="0.25"/>
    <row r="584" ht="15" x14ac:dyDescent="0.25"/>
    <row r="585" ht="15" x14ac:dyDescent="0.25"/>
    <row r="586" ht="15" x14ac:dyDescent="0.25"/>
    <row r="587" ht="15" x14ac:dyDescent="0.25"/>
    <row r="588" ht="15" x14ac:dyDescent="0.25"/>
    <row r="589" ht="15" x14ac:dyDescent="0.25"/>
    <row r="590" ht="15" x14ac:dyDescent="0.25"/>
    <row r="591" ht="15" x14ac:dyDescent="0.25"/>
    <row r="592" ht="15" x14ac:dyDescent="0.25"/>
    <row r="593" ht="15" x14ac:dyDescent="0.25"/>
    <row r="594" ht="15" x14ac:dyDescent="0.25"/>
    <row r="595" ht="15" x14ac:dyDescent="0.25"/>
    <row r="596" ht="15" x14ac:dyDescent="0.25"/>
    <row r="597" ht="15" x14ac:dyDescent="0.25"/>
    <row r="598" ht="15" x14ac:dyDescent="0.25"/>
    <row r="599" ht="15" x14ac:dyDescent="0.25"/>
    <row r="600" ht="15" x14ac:dyDescent="0.25"/>
    <row r="601" ht="15" x14ac:dyDescent="0.25"/>
    <row r="602" ht="15" x14ac:dyDescent="0.25"/>
    <row r="603" ht="15" x14ac:dyDescent="0.25"/>
    <row r="604" ht="15" x14ac:dyDescent="0.25"/>
    <row r="605" ht="15" x14ac:dyDescent="0.25"/>
    <row r="606" ht="15" x14ac:dyDescent="0.25"/>
    <row r="607" ht="15" x14ac:dyDescent="0.25"/>
    <row r="608" ht="15" x14ac:dyDescent="0.25"/>
    <row r="609" ht="15" x14ac:dyDescent="0.25"/>
    <row r="610" ht="15" x14ac:dyDescent="0.25"/>
    <row r="611" ht="15" x14ac:dyDescent="0.25"/>
    <row r="612" ht="15" x14ac:dyDescent="0.25"/>
    <row r="613" ht="15" x14ac:dyDescent="0.25"/>
    <row r="614" ht="15" x14ac:dyDescent="0.25"/>
    <row r="615" ht="15" x14ac:dyDescent="0.25"/>
    <row r="616" ht="15" x14ac:dyDescent="0.25"/>
    <row r="617" ht="15" x14ac:dyDescent="0.25"/>
    <row r="618" ht="15" x14ac:dyDescent="0.25"/>
    <row r="619" ht="15" x14ac:dyDescent="0.25"/>
    <row r="620" ht="15" x14ac:dyDescent="0.25"/>
    <row r="621" ht="15" x14ac:dyDescent="0.25"/>
    <row r="622" ht="15" x14ac:dyDescent="0.25"/>
    <row r="623" ht="15" x14ac:dyDescent="0.25"/>
    <row r="624" ht="15" x14ac:dyDescent="0.25"/>
    <row r="625" ht="15" x14ac:dyDescent="0.25"/>
    <row r="626" ht="15" x14ac:dyDescent="0.25"/>
    <row r="627" ht="15" x14ac:dyDescent="0.25"/>
    <row r="628" ht="15" x14ac:dyDescent="0.25"/>
    <row r="629" ht="15" x14ac:dyDescent="0.25"/>
    <row r="630" ht="15" x14ac:dyDescent="0.25"/>
    <row r="631" ht="15" x14ac:dyDescent="0.25"/>
    <row r="632" ht="15" x14ac:dyDescent="0.25"/>
    <row r="633" ht="15" x14ac:dyDescent="0.25"/>
    <row r="634" ht="15" x14ac:dyDescent="0.25"/>
    <row r="635" ht="15" x14ac:dyDescent="0.25"/>
    <row r="636" ht="15" x14ac:dyDescent="0.25"/>
    <row r="637" ht="15" x14ac:dyDescent="0.25"/>
    <row r="638" ht="15" x14ac:dyDescent="0.25"/>
    <row r="639" ht="15" x14ac:dyDescent="0.25"/>
    <row r="640" ht="15" x14ac:dyDescent="0.25"/>
    <row r="641" ht="15" x14ac:dyDescent="0.25"/>
    <row r="642" ht="15" x14ac:dyDescent="0.25"/>
    <row r="643" ht="15" x14ac:dyDescent="0.25"/>
    <row r="644" ht="15" x14ac:dyDescent="0.25"/>
    <row r="645" ht="15" x14ac:dyDescent="0.25"/>
    <row r="646" ht="15" x14ac:dyDescent="0.25"/>
    <row r="647" ht="15" x14ac:dyDescent="0.25"/>
    <row r="648" ht="15" x14ac:dyDescent="0.25"/>
    <row r="649" ht="15" x14ac:dyDescent="0.25"/>
    <row r="650" ht="15" x14ac:dyDescent="0.25"/>
    <row r="651" ht="15" x14ac:dyDescent="0.25"/>
    <row r="652" ht="15" x14ac:dyDescent="0.25"/>
    <row r="653" ht="15" x14ac:dyDescent="0.25"/>
    <row r="654" ht="15" x14ac:dyDescent="0.25"/>
    <row r="655" ht="15" x14ac:dyDescent="0.25"/>
    <row r="656" ht="15" x14ac:dyDescent="0.25"/>
    <row r="657" ht="15" x14ac:dyDescent="0.25"/>
    <row r="658" ht="15" x14ac:dyDescent="0.25"/>
    <row r="659" ht="15" x14ac:dyDescent="0.25"/>
    <row r="660" ht="15" x14ac:dyDescent="0.25"/>
    <row r="661" ht="15" x14ac:dyDescent="0.25"/>
    <row r="662" ht="15" x14ac:dyDescent="0.25"/>
    <row r="663" ht="15" x14ac:dyDescent="0.25"/>
    <row r="664" ht="15" x14ac:dyDescent="0.25"/>
    <row r="665" ht="15" x14ac:dyDescent="0.25"/>
    <row r="666" ht="15" x14ac:dyDescent="0.25"/>
    <row r="667" ht="15" x14ac:dyDescent="0.25"/>
    <row r="668" ht="15" x14ac:dyDescent="0.25"/>
    <row r="669" ht="15" x14ac:dyDescent="0.25"/>
    <row r="670" ht="15" x14ac:dyDescent="0.25"/>
    <row r="671" ht="15" x14ac:dyDescent="0.25"/>
    <row r="672" ht="15" x14ac:dyDescent="0.25"/>
    <row r="673" ht="15" x14ac:dyDescent="0.25"/>
    <row r="674" ht="15" x14ac:dyDescent="0.25"/>
    <row r="675" ht="15" x14ac:dyDescent="0.25"/>
    <row r="676" ht="15" x14ac:dyDescent="0.25"/>
    <row r="677" ht="15" x14ac:dyDescent="0.25"/>
    <row r="678" ht="15" x14ac:dyDescent="0.25"/>
    <row r="679" ht="15" x14ac:dyDescent="0.25"/>
    <row r="680" ht="15" x14ac:dyDescent="0.25"/>
    <row r="681" ht="15" x14ac:dyDescent="0.25"/>
    <row r="682" ht="15" x14ac:dyDescent="0.25"/>
    <row r="683" ht="15" x14ac:dyDescent="0.25"/>
    <row r="684" ht="15" x14ac:dyDescent="0.25"/>
    <row r="685" ht="15" x14ac:dyDescent="0.25"/>
    <row r="686" ht="15" x14ac:dyDescent="0.25"/>
    <row r="687" ht="15" x14ac:dyDescent="0.25"/>
    <row r="688" ht="15" x14ac:dyDescent="0.25"/>
    <row r="689" ht="15" x14ac:dyDescent="0.25"/>
    <row r="690" ht="15" x14ac:dyDescent="0.25"/>
    <row r="691" ht="15" x14ac:dyDescent="0.25"/>
    <row r="692" ht="15" x14ac:dyDescent="0.25"/>
    <row r="693" ht="15" x14ac:dyDescent="0.25"/>
    <row r="694" ht="15" x14ac:dyDescent="0.25"/>
    <row r="695" ht="15" x14ac:dyDescent="0.25"/>
    <row r="696" ht="15" x14ac:dyDescent="0.25"/>
    <row r="697" ht="15" x14ac:dyDescent="0.25"/>
    <row r="698" ht="15" x14ac:dyDescent="0.25"/>
    <row r="699" ht="15" x14ac:dyDescent="0.25"/>
    <row r="700" ht="15" x14ac:dyDescent="0.25"/>
    <row r="701" ht="15" x14ac:dyDescent="0.25"/>
    <row r="702" ht="15" x14ac:dyDescent="0.25"/>
    <row r="703" ht="15" x14ac:dyDescent="0.25"/>
    <row r="704" ht="15" x14ac:dyDescent="0.25"/>
    <row r="705" ht="15" x14ac:dyDescent="0.25"/>
    <row r="706" ht="15" x14ac:dyDescent="0.25"/>
    <row r="707" ht="15" x14ac:dyDescent="0.25"/>
    <row r="708" ht="15" x14ac:dyDescent="0.25"/>
    <row r="709" ht="15" x14ac:dyDescent="0.25"/>
    <row r="710" ht="15" x14ac:dyDescent="0.25"/>
    <row r="711" ht="15" x14ac:dyDescent="0.25"/>
    <row r="712" ht="15" x14ac:dyDescent="0.25"/>
    <row r="713" ht="15" x14ac:dyDescent="0.25"/>
    <row r="714" ht="15" x14ac:dyDescent="0.25"/>
    <row r="715" ht="15" x14ac:dyDescent="0.25"/>
    <row r="716" ht="15" x14ac:dyDescent="0.25"/>
    <row r="717" ht="15" x14ac:dyDescent="0.25"/>
    <row r="718" ht="15" x14ac:dyDescent="0.25"/>
    <row r="719" ht="15" x14ac:dyDescent="0.25"/>
    <row r="720" ht="15" x14ac:dyDescent="0.25"/>
    <row r="721" ht="15" x14ac:dyDescent="0.25"/>
    <row r="722" ht="15" x14ac:dyDescent="0.25"/>
    <row r="723" ht="15" x14ac:dyDescent="0.25"/>
    <row r="724" ht="15" x14ac:dyDescent="0.25"/>
    <row r="725" ht="15" x14ac:dyDescent="0.25"/>
    <row r="726" ht="15" x14ac:dyDescent="0.25"/>
    <row r="727" ht="15" x14ac:dyDescent="0.25"/>
    <row r="728" ht="15" x14ac:dyDescent="0.25"/>
    <row r="729" ht="15" x14ac:dyDescent="0.25"/>
    <row r="730" ht="15" x14ac:dyDescent="0.25"/>
    <row r="731" ht="15" x14ac:dyDescent="0.25"/>
    <row r="732" ht="15" x14ac:dyDescent="0.25"/>
    <row r="733" ht="15" x14ac:dyDescent="0.25"/>
    <row r="734" ht="15" x14ac:dyDescent="0.25"/>
    <row r="735" ht="15" x14ac:dyDescent="0.25"/>
    <row r="736" ht="15" x14ac:dyDescent="0.25"/>
    <row r="737" ht="15" x14ac:dyDescent="0.25"/>
    <row r="738" ht="15" x14ac:dyDescent="0.25"/>
    <row r="739" ht="15" x14ac:dyDescent="0.25"/>
    <row r="740" ht="15" x14ac:dyDescent="0.25"/>
    <row r="741" ht="15" x14ac:dyDescent="0.25"/>
    <row r="742" ht="15" x14ac:dyDescent="0.25"/>
    <row r="743" ht="15" x14ac:dyDescent="0.25"/>
    <row r="744" ht="15" x14ac:dyDescent="0.25"/>
    <row r="745" ht="15" x14ac:dyDescent="0.25"/>
    <row r="746" ht="15" x14ac:dyDescent="0.25"/>
    <row r="747" ht="15" x14ac:dyDescent="0.25"/>
    <row r="748" ht="15" x14ac:dyDescent="0.25"/>
    <row r="749" ht="15" x14ac:dyDescent="0.25"/>
    <row r="750" ht="15" x14ac:dyDescent="0.25"/>
    <row r="751" ht="15" x14ac:dyDescent="0.25"/>
    <row r="752" ht="15" x14ac:dyDescent="0.25"/>
    <row r="753" ht="15" x14ac:dyDescent="0.25"/>
    <row r="754" ht="15" x14ac:dyDescent="0.25"/>
    <row r="755" ht="15" x14ac:dyDescent="0.25"/>
    <row r="756" ht="15" x14ac:dyDescent="0.25"/>
    <row r="757" ht="15" x14ac:dyDescent="0.25"/>
    <row r="758" ht="15" x14ac:dyDescent="0.25"/>
    <row r="759" ht="15" x14ac:dyDescent="0.25"/>
    <row r="760" ht="15" x14ac:dyDescent="0.25"/>
    <row r="761" ht="15" x14ac:dyDescent="0.25"/>
    <row r="762" ht="15" x14ac:dyDescent="0.25"/>
    <row r="763" ht="15" x14ac:dyDescent="0.25"/>
    <row r="764" ht="15" x14ac:dyDescent="0.25"/>
    <row r="765" ht="15" x14ac:dyDescent="0.25"/>
    <row r="766" ht="15" x14ac:dyDescent="0.25"/>
    <row r="767" ht="15" x14ac:dyDescent="0.25"/>
    <row r="768" ht="15" x14ac:dyDescent="0.25"/>
    <row r="769" ht="15" x14ac:dyDescent="0.25"/>
    <row r="770" ht="15" x14ac:dyDescent="0.25"/>
    <row r="771" ht="15" x14ac:dyDescent="0.25"/>
    <row r="772" ht="15" x14ac:dyDescent="0.25"/>
    <row r="773" ht="15" x14ac:dyDescent="0.25"/>
    <row r="774" ht="15" x14ac:dyDescent="0.25"/>
    <row r="775" ht="15" x14ac:dyDescent="0.25"/>
    <row r="776" ht="15" x14ac:dyDescent="0.25"/>
    <row r="777" ht="15" x14ac:dyDescent="0.25"/>
    <row r="778" ht="15" x14ac:dyDescent="0.25"/>
    <row r="779" ht="15" x14ac:dyDescent="0.25"/>
    <row r="780" ht="15" x14ac:dyDescent="0.25"/>
    <row r="781" ht="15" x14ac:dyDescent="0.25"/>
    <row r="782" ht="15" x14ac:dyDescent="0.25"/>
    <row r="783" ht="15" x14ac:dyDescent="0.25"/>
    <row r="784" ht="15" x14ac:dyDescent="0.25"/>
    <row r="785" ht="15" x14ac:dyDescent="0.25"/>
    <row r="786" ht="15" x14ac:dyDescent="0.25"/>
    <row r="787" ht="15" x14ac:dyDescent="0.25"/>
    <row r="788" ht="15" x14ac:dyDescent="0.25"/>
    <row r="789" ht="15" x14ac:dyDescent="0.25"/>
    <row r="790" ht="15" x14ac:dyDescent="0.25"/>
    <row r="791" ht="15" x14ac:dyDescent="0.25"/>
    <row r="792" ht="15" x14ac:dyDescent="0.25"/>
    <row r="793" ht="15" x14ac:dyDescent="0.25"/>
    <row r="794" ht="15" x14ac:dyDescent="0.25"/>
    <row r="795" ht="15" x14ac:dyDescent="0.25"/>
    <row r="796" ht="15" x14ac:dyDescent="0.25"/>
    <row r="797" ht="15" x14ac:dyDescent="0.25"/>
    <row r="798" ht="15" x14ac:dyDescent="0.25"/>
    <row r="799" ht="15" x14ac:dyDescent="0.25"/>
    <row r="800" ht="15" x14ac:dyDescent="0.25"/>
    <row r="801" ht="15" x14ac:dyDescent="0.25"/>
    <row r="802" ht="15" x14ac:dyDescent="0.25"/>
    <row r="803" ht="15" x14ac:dyDescent="0.25"/>
    <row r="804" ht="15" x14ac:dyDescent="0.25"/>
    <row r="805" ht="15" x14ac:dyDescent="0.25"/>
    <row r="806" ht="15" x14ac:dyDescent="0.25"/>
    <row r="807" ht="15" x14ac:dyDescent="0.25"/>
    <row r="808" ht="15" x14ac:dyDescent="0.25"/>
    <row r="809" ht="15" x14ac:dyDescent="0.25"/>
    <row r="810" ht="15" x14ac:dyDescent="0.25"/>
    <row r="811" ht="15" x14ac:dyDescent="0.25"/>
    <row r="812" ht="15" x14ac:dyDescent="0.25"/>
    <row r="813" ht="15" x14ac:dyDescent="0.25"/>
    <row r="814" ht="15" x14ac:dyDescent="0.25"/>
    <row r="815" ht="15" x14ac:dyDescent="0.25"/>
    <row r="816" ht="15" x14ac:dyDescent="0.25"/>
    <row r="817" ht="15" x14ac:dyDescent="0.25"/>
    <row r="818" ht="15" x14ac:dyDescent="0.25"/>
    <row r="819" ht="15" x14ac:dyDescent="0.25"/>
    <row r="820" ht="15" x14ac:dyDescent="0.25"/>
    <row r="821" ht="15" x14ac:dyDescent="0.25"/>
    <row r="822" ht="15" x14ac:dyDescent="0.25"/>
    <row r="823" ht="15" x14ac:dyDescent="0.25"/>
    <row r="824" ht="15" x14ac:dyDescent="0.25"/>
    <row r="825" ht="15" x14ac:dyDescent="0.25"/>
    <row r="826" ht="15" x14ac:dyDescent="0.25"/>
    <row r="827" ht="15" x14ac:dyDescent="0.25"/>
    <row r="828" ht="15" x14ac:dyDescent="0.25"/>
    <row r="829" ht="15" x14ac:dyDescent="0.25"/>
    <row r="830" ht="15" x14ac:dyDescent="0.25"/>
    <row r="831" ht="15" x14ac:dyDescent="0.25"/>
    <row r="832" ht="15" x14ac:dyDescent="0.25"/>
    <row r="833" ht="15" x14ac:dyDescent="0.25"/>
    <row r="834" ht="15" x14ac:dyDescent="0.25"/>
    <row r="835" ht="15" x14ac:dyDescent="0.25"/>
    <row r="836" ht="15" x14ac:dyDescent="0.25"/>
    <row r="837" ht="15" x14ac:dyDescent="0.25"/>
    <row r="838" ht="15" x14ac:dyDescent="0.25"/>
    <row r="839" ht="15" x14ac:dyDescent="0.25"/>
    <row r="840" ht="15" x14ac:dyDescent="0.25"/>
    <row r="841" ht="15" x14ac:dyDescent="0.25"/>
    <row r="842" ht="15" x14ac:dyDescent="0.25"/>
    <row r="843" ht="15" x14ac:dyDescent="0.25"/>
    <row r="844" ht="15" x14ac:dyDescent="0.25"/>
    <row r="845" ht="15" x14ac:dyDescent="0.25"/>
    <row r="846" ht="15" x14ac:dyDescent="0.25"/>
    <row r="847" ht="15" x14ac:dyDescent="0.25"/>
    <row r="848" ht="15" x14ac:dyDescent="0.25"/>
    <row r="849" ht="15" x14ac:dyDescent="0.25"/>
    <row r="850" ht="15" x14ac:dyDescent="0.25"/>
    <row r="851" ht="15" x14ac:dyDescent="0.25"/>
    <row r="852" ht="15" x14ac:dyDescent="0.25"/>
    <row r="853" ht="15" x14ac:dyDescent="0.25"/>
    <row r="854" ht="15" x14ac:dyDescent="0.25"/>
    <row r="855" ht="15" x14ac:dyDescent="0.25"/>
    <row r="856" ht="15" x14ac:dyDescent="0.25"/>
    <row r="857" ht="15" x14ac:dyDescent="0.25"/>
    <row r="858" ht="15" x14ac:dyDescent="0.25"/>
    <row r="859" ht="15" x14ac:dyDescent="0.25"/>
    <row r="860" ht="15" x14ac:dyDescent="0.25"/>
    <row r="861" ht="15" x14ac:dyDescent="0.25"/>
    <row r="862" ht="15" x14ac:dyDescent="0.25"/>
    <row r="863" ht="15" x14ac:dyDescent="0.25"/>
    <row r="864" ht="15" x14ac:dyDescent="0.25"/>
    <row r="865" ht="15" x14ac:dyDescent="0.25"/>
    <row r="866" ht="15" x14ac:dyDescent="0.25"/>
    <row r="867" ht="15" x14ac:dyDescent="0.25"/>
    <row r="868" ht="15" x14ac:dyDescent="0.25"/>
    <row r="869" ht="15" x14ac:dyDescent="0.25"/>
    <row r="870" ht="15" x14ac:dyDescent="0.25"/>
    <row r="871" ht="15" x14ac:dyDescent="0.25"/>
    <row r="872" ht="15" x14ac:dyDescent="0.25"/>
    <row r="873" ht="15" x14ac:dyDescent="0.25"/>
    <row r="874" ht="15" x14ac:dyDescent="0.25"/>
    <row r="875" ht="15" x14ac:dyDescent="0.25"/>
    <row r="876" ht="15" x14ac:dyDescent="0.25"/>
    <row r="877" ht="15" x14ac:dyDescent="0.25"/>
    <row r="878" ht="15" x14ac:dyDescent="0.25"/>
    <row r="879" ht="15" x14ac:dyDescent="0.25"/>
    <row r="880" ht="15" x14ac:dyDescent="0.25"/>
    <row r="881" ht="15" x14ac:dyDescent="0.25"/>
    <row r="882" ht="15" x14ac:dyDescent="0.25"/>
    <row r="883" ht="15" x14ac:dyDescent="0.25"/>
    <row r="884" ht="15" x14ac:dyDescent="0.25"/>
    <row r="885" ht="15" x14ac:dyDescent="0.25"/>
    <row r="886" ht="15" x14ac:dyDescent="0.25"/>
    <row r="887" ht="15" x14ac:dyDescent="0.25"/>
    <row r="888" ht="15" x14ac:dyDescent="0.25"/>
    <row r="889" ht="15" x14ac:dyDescent="0.25"/>
    <row r="890" ht="15" x14ac:dyDescent="0.25"/>
    <row r="891" ht="15" x14ac:dyDescent="0.25"/>
    <row r="892" ht="15" x14ac:dyDescent="0.25"/>
    <row r="893" ht="15" x14ac:dyDescent="0.25"/>
    <row r="894" ht="15" x14ac:dyDescent="0.25"/>
    <row r="895" ht="15" x14ac:dyDescent="0.25"/>
    <row r="896" ht="15" x14ac:dyDescent="0.25"/>
    <row r="897" ht="15" x14ac:dyDescent="0.25"/>
    <row r="898" ht="15" x14ac:dyDescent="0.25"/>
    <row r="899" ht="15" x14ac:dyDescent="0.25"/>
    <row r="900" ht="15" x14ac:dyDescent="0.25"/>
    <row r="901" ht="15" x14ac:dyDescent="0.25"/>
    <row r="902" ht="15" x14ac:dyDescent="0.25"/>
    <row r="903" ht="15" x14ac:dyDescent="0.25"/>
    <row r="904" ht="15" x14ac:dyDescent="0.25"/>
    <row r="905" ht="15" x14ac:dyDescent="0.25"/>
    <row r="906" ht="15" x14ac:dyDescent="0.25"/>
    <row r="907" ht="15" x14ac:dyDescent="0.25"/>
    <row r="908" ht="15" x14ac:dyDescent="0.25"/>
    <row r="909" ht="15" x14ac:dyDescent="0.25"/>
    <row r="910" ht="15" x14ac:dyDescent="0.25"/>
    <row r="911" ht="15" x14ac:dyDescent="0.25"/>
    <row r="912" ht="15" x14ac:dyDescent="0.25"/>
    <row r="913" ht="15" x14ac:dyDescent="0.25"/>
    <row r="914" ht="15" x14ac:dyDescent="0.25"/>
    <row r="915" ht="15" x14ac:dyDescent="0.25"/>
    <row r="916" ht="15" x14ac:dyDescent="0.25"/>
    <row r="917" ht="15" x14ac:dyDescent="0.25"/>
    <row r="918" ht="15" x14ac:dyDescent="0.25"/>
    <row r="919" ht="15" x14ac:dyDescent="0.25"/>
    <row r="920" ht="15" x14ac:dyDescent="0.25"/>
    <row r="921" ht="15" x14ac:dyDescent="0.25"/>
    <row r="922" ht="15" x14ac:dyDescent="0.25"/>
    <row r="923" ht="15" x14ac:dyDescent="0.25"/>
    <row r="924" ht="15" x14ac:dyDescent="0.25"/>
    <row r="925" ht="15" x14ac:dyDescent="0.25"/>
    <row r="926" ht="15" x14ac:dyDescent="0.25"/>
    <row r="927" ht="15" x14ac:dyDescent="0.25"/>
    <row r="928" ht="15" x14ac:dyDescent="0.25"/>
    <row r="929" ht="15" x14ac:dyDescent="0.25"/>
    <row r="930" ht="15" x14ac:dyDescent="0.25"/>
    <row r="931" ht="15" x14ac:dyDescent="0.25"/>
    <row r="932" ht="15" x14ac:dyDescent="0.25"/>
    <row r="933" ht="15" x14ac:dyDescent="0.25"/>
    <row r="934" ht="15" x14ac:dyDescent="0.25"/>
    <row r="935" ht="15" x14ac:dyDescent="0.25"/>
    <row r="936" ht="15" x14ac:dyDescent="0.25"/>
    <row r="937" ht="15" x14ac:dyDescent="0.25"/>
    <row r="938" ht="15" x14ac:dyDescent="0.25"/>
    <row r="939" ht="15" x14ac:dyDescent="0.25"/>
    <row r="940" ht="15" x14ac:dyDescent="0.25"/>
    <row r="941" ht="15" x14ac:dyDescent="0.25"/>
    <row r="942" ht="15" x14ac:dyDescent="0.25"/>
    <row r="943" ht="15" x14ac:dyDescent="0.25"/>
    <row r="944" ht="15" x14ac:dyDescent="0.25"/>
    <row r="945" ht="15" x14ac:dyDescent="0.25"/>
    <row r="946" ht="15" x14ac:dyDescent="0.25"/>
    <row r="947" ht="15" x14ac:dyDescent="0.25"/>
    <row r="948" ht="15" x14ac:dyDescent="0.25"/>
    <row r="949" ht="15" x14ac:dyDescent="0.25"/>
    <row r="950" ht="15" x14ac:dyDescent="0.25"/>
    <row r="951" ht="15" x14ac:dyDescent="0.25"/>
    <row r="952" ht="15" x14ac:dyDescent="0.25"/>
    <row r="953" ht="15" x14ac:dyDescent="0.25"/>
    <row r="954" ht="15" x14ac:dyDescent="0.25"/>
    <row r="955" ht="15" x14ac:dyDescent="0.25"/>
    <row r="956" ht="15" x14ac:dyDescent="0.25"/>
    <row r="957" ht="15" x14ac:dyDescent="0.25"/>
    <row r="958" ht="15" x14ac:dyDescent="0.25"/>
    <row r="959" ht="15" x14ac:dyDescent="0.25"/>
    <row r="960" ht="15" x14ac:dyDescent="0.25"/>
    <row r="961" ht="15" x14ac:dyDescent="0.25"/>
    <row r="962" ht="15" x14ac:dyDescent="0.25"/>
    <row r="963" ht="15" x14ac:dyDescent="0.25"/>
    <row r="964" ht="15" x14ac:dyDescent="0.25"/>
    <row r="965" ht="15" x14ac:dyDescent="0.25"/>
    <row r="966" ht="15" x14ac:dyDescent="0.25"/>
    <row r="967" ht="15" x14ac:dyDescent="0.25"/>
    <row r="968" ht="15" x14ac:dyDescent="0.25"/>
    <row r="969" ht="15" x14ac:dyDescent="0.25"/>
    <row r="970" ht="15" x14ac:dyDescent="0.25"/>
    <row r="971" ht="15" x14ac:dyDescent="0.25"/>
    <row r="972" ht="15" x14ac:dyDescent="0.25"/>
    <row r="973" ht="15" x14ac:dyDescent="0.25"/>
    <row r="974" ht="15" x14ac:dyDescent="0.25"/>
    <row r="975" ht="15" x14ac:dyDescent="0.25"/>
    <row r="976" ht="15" x14ac:dyDescent="0.25"/>
    <row r="977" ht="15" x14ac:dyDescent="0.25"/>
    <row r="978" ht="15" x14ac:dyDescent="0.25"/>
    <row r="979" ht="15" x14ac:dyDescent="0.25"/>
    <row r="980" ht="15" x14ac:dyDescent="0.25"/>
    <row r="981" ht="15" x14ac:dyDescent="0.25"/>
    <row r="982" ht="15" x14ac:dyDescent="0.25"/>
    <row r="983" ht="15" x14ac:dyDescent="0.25"/>
    <row r="984" ht="15" x14ac:dyDescent="0.25"/>
    <row r="985" ht="15" x14ac:dyDescent="0.25"/>
    <row r="986" ht="15" x14ac:dyDescent="0.25"/>
    <row r="987" ht="15" x14ac:dyDescent="0.25"/>
    <row r="988" ht="15" x14ac:dyDescent="0.25"/>
    <row r="989" ht="15" x14ac:dyDescent="0.25"/>
    <row r="990" ht="15" x14ac:dyDescent="0.25"/>
    <row r="991" ht="15" x14ac:dyDescent="0.25"/>
    <row r="992" ht="15" x14ac:dyDescent="0.25"/>
    <row r="993" ht="15" x14ac:dyDescent="0.25"/>
    <row r="994" ht="15" x14ac:dyDescent="0.25"/>
    <row r="995" ht="15" x14ac:dyDescent="0.25"/>
    <row r="996" ht="15" x14ac:dyDescent="0.25"/>
    <row r="997" ht="15" x14ac:dyDescent="0.25"/>
    <row r="998" ht="15" x14ac:dyDescent="0.25"/>
    <row r="999" ht="15" x14ac:dyDescent="0.25"/>
    <row r="1000" ht="15" x14ac:dyDescent="0.25"/>
    <row r="1001" ht="15" x14ac:dyDescent="0.25"/>
    <row r="1002" ht="15" x14ac:dyDescent="0.25"/>
    <row r="1003" ht="15" x14ac:dyDescent="0.25"/>
    <row r="1004" ht="15" x14ac:dyDescent="0.25"/>
    <row r="1005" ht="15" x14ac:dyDescent="0.25"/>
    <row r="1006" ht="15" x14ac:dyDescent="0.25"/>
    <row r="1007" ht="15" x14ac:dyDescent="0.25"/>
    <row r="1008" ht="15" x14ac:dyDescent="0.25"/>
    <row r="1009" ht="15" x14ac:dyDescent="0.25"/>
    <row r="1010" ht="15" x14ac:dyDescent="0.25"/>
    <row r="1011" ht="15" x14ac:dyDescent="0.25"/>
    <row r="1012" ht="15" x14ac:dyDescent="0.25"/>
    <row r="1013" ht="15" x14ac:dyDescent="0.25"/>
    <row r="1014" ht="15" x14ac:dyDescent="0.25"/>
    <row r="1015" ht="15" x14ac:dyDescent="0.25"/>
    <row r="1016" ht="15" x14ac:dyDescent="0.25"/>
    <row r="1017" ht="15" x14ac:dyDescent="0.25"/>
    <row r="1018" ht="15" x14ac:dyDescent="0.25"/>
    <row r="1019" ht="15" x14ac:dyDescent="0.25"/>
    <row r="1020" ht="15" x14ac:dyDescent="0.25"/>
    <row r="1021" ht="15" x14ac:dyDescent="0.25"/>
    <row r="1022" ht="15" x14ac:dyDescent="0.25"/>
    <row r="1023" ht="15" x14ac:dyDescent="0.25"/>
    <row r="1024" ht="15" x14ac:dyDescent="0.25"/>
    <row r="1025" ht="15" x14ac:dyDescent="0.25"/>
    <row r="1026" ht="15" x14ac:dyDescent="0.25"/>
    <row r="1027" ht="15" x14ac:dyDescent="0.25"/>
    <row r="1028" ht="15" x14ac:dyDescent="0.25"/>
    <row r="1029" ht="15" x14ac:dyDescent="0.25"/>
    <row r="1030" ht="15" x14ac:dyDescent="0.25"/>
    <row r="1031" ht="15" x14ac:dyDescent="0.25"/>
    <row r="1032" ht="15" x14ac:dyDescent="0.25"/>
    <row r="1033" ht="15" x14ac:dyDescent="0.25"/>
    <row r="1034" ht="15" x14ac:dyDescent="0.25"/>
    <row r="1035" ht="15" x14ac:dyDescent="0.25"/>
    <row r="1036" ht="15" x14ac:dyDescent="0.25"/>
    <row r="1037" ht="15" x14ac:dyDescent="0.25"/>
    <row r="1038" ht="15" x14ac:dyDescent="0.25"/>
    <row r="1039" ht="15" x14ac:dyDescent="0.25"/>
    <row r="1040" ht="15" x14ac:dyDescent="0.25"/>
    <row r="1041" ht="15" x14ac:dyDescent="0.25"/>
    <row r="1042" ht="15" x14ac:dyDescent="0.25"/>
    <row r="1043" ht="15" x14ac:dyDescent="0.25"/>
    <row r="1044" ht="15" x14ac:dyDescent="0.25"/>
    <row r="1045" ht="15" x14ac:dyDescent="0.25"/>
    <row r="1046" ht="15" x14ac:dyDescent="0.25"/>
    <row r="1047" ht="15" x14ac:dyDescent="0.25"/>
    <row r="1048" ht="15" x14ac:dyDescent="0.25"/>
    <row r="1049" ht="15" x14ac:dyDescent="0.25"/>
    <row r="1050" ht="15" x14ac:dyDescent="0.25"/>
    <row r="1051" ht="15" x14ac:dyDescent="0.25"/>
    <row r="1052" ht="15" x14ac:dyDescent="0.25"/>
    <row r="1053" ht="15" x14ac:dyDescent="0.25"/>
    <row r="1054" ht="15" x14ac:dyDescent="0.25"/>
    <row r="1055" ht="15" x14ac:dyDescent="0.25"/>
    <row r="1056" ht="15" x14ac:dyDescent="0.25"/>
    <row r="1057" ht="15" x14ac:dyDescent="0.25"/>
    <row r="1058" ht="15" x14ac:dyDescent="0.25"/>
    <row r="1059" ht="15" x14ac:dyDescent="0.25"/>
    <row r="1060" ht="15" x14ac:dyDescent="0.25"/>
    <row r="1061" ht="15" x14ac:dyDescent="0.25"/>
    <row r="1062" ht="15" x14ac:dyDescent="0.25"/>
    <row r="1063" ht="15" x14ac:dyDescent="0.25"/>
    <row r="1064" ht="15" x14ac:dyDescent="0.25"/>
    <row r="1065" ht="15" x14ac:dyDescent="0.25"/>
    <row r="1066" ht="15" x14ac:dyDescent="0.25"/>
    <row r="1067" ht="15" x14ac:dyDescent="0.25"/>
    <row r="1068" ht="15" x14ac:dyDescent="0.25"/>
    <row r="1069" ht="15" x14ac:dyDescent="0.25"/>
    <row r="1070" ht="15" x14ac:dyDescent="0.25"/>
    <row r="1071" ht="15" x14ac:dyDescent="0.25"/>
    <row r="1072" ht="15" x14ac:dyDescent="0.25"/>
    <row r="1073" ht="15" x14ac:dyDescent="0.25"/>
    <row r="1074" ht="15" x14ac:dyDescent="0.25"/>
    <row r="1075" ht="15" x14ac:dyDescent="0.25"/>
    <row r="1076" ht="15" x14ac:dyDescent="0.25"/>
    <row r="1077" ht="15" x14ac:dyDescent="0.25"/>
    <row r="1078" ht="15" x14ac:dyDescent="0.25"/>
    <row r="1079" ht="15" x14ac:dyDescent="0.25"/>
    <row r="1080" ht="15" x14ac:dyDescent="0.25"/>
    <row r="1081" ht="15" x14ac:dyDescent="0.25"/>
    <row r="1082" ht="15" x14ac:dyDescent="0.25"/>
    <row r="1083" ht="15" x14ac:dyDescent="0.25"/>
    <row r="1084" ht="15" x14ac:dyDescent="0.25"/>
    <row r="1085" ht="15" x14ac:dyDescent="0.25"/>
    <row r="1086" ht="15" x14ac:dyDescent="0.25"/>
    <row r="1087" ht="15" x14ac:dyDescent="0.25"/>
    <row r="1088" ht="15" x14ac:dyDescent="0.25"/>
    <row r="1089" ht="15" x14ac:dyDescent="0.25"/>
    <row r="1090" ht="15" x14ac:dyDescent="0.25"/>
    <row r="1091" ht="15" x14ac:dyDescent="0.25"/>
    <row r="1092" ht="15" x14ac:dyDescent="0.25"/>
    <row r="1093" ht="15" x14ac:dyDescent="0.25"/>
    <row r="1094" ht="15" x14ac:dyDescent="0.25"/>
    <row r="1095" ht="15" x14ac:dyDescent="0.25"/>
    <row r="1096" ht="15" x14ac:dyDescent="0.25"/>
    <row r="1097" ht="15" x14ac:dyDescent="0.25"/>
    <row r="1098" ht="15" x14ac:dyDescent="0.25"/>
    <row r="1099" ht="15" x14ac:dyDescent="0.25"/>
    <row r="1100" ht="15" x14ac:dyDescent="0.25"/>
    <row r="1101" ht="15" x14ac:dyDescent="0.25"/>
    <row r="1102" ht="15" x14ac:dyDescent="0.25"/>
    <row r="1103" ht="15" x14ac:dyDescent="0.25"/>
    <row r="1104" ht="15" x14ac:dyDescent="0.25"/>
    <row r="1105" ht="15" x14ac:dyDescent="0.25"/>
    <row r="1106" ht="15" x14ac:dyDescent="0.25"/>
    <row r="1107" ht="15" x14ac:dyDescent="0.25"/>
    <row r="1108" ht="15" x14ac:dyDescent="0.25"/>
    <row r="1109" ht="15" x14ac:dyDescent="0.25"/>
    <row r="1110" ht="15" x14ac:dyDescent="0.25"/>
    <row r="1111" ht="15" x14ac:dyDescent="0.25"/>
    <row r="1112" ht="15" x14ac:dyDescent="0.25"/>
    <row r="1113" ht="15" x14ac:dyDescent="0.25"/>
    <row r="1114" ht="15" x14ac:dyDescent="0.25"/>
    <row r="1115" ht="15" x14ac:dyDescent="0.25"/>
    <row r="1116" ht="15" x14ac:dyDescent="0.25"/>
    <row r="1117" ht="15" x14ac:dyDescent="0.25"/>
    <row r="1118" ht="15" x14ac:dyDescent="0.25"/>
    <row r="1119" ht="15" x14ac:dyDescent="0.25"/>
    <row r="1120" ht="15" x14ac:dyDescent="0.25"/>
    <row r="1121" ht="15" x14ac:dyDescent="0.25"/>
    <row r="1122" ht="15" x14ac:dyDescent="0.25"/>
    <row r="1123" ht="15" x14ac:dyDescent="0.25"/>
    <row r="1124" ht="15" x14ac:dyDescent="0.25"/>
    <row r="1125" ht="15" x14ac:dyDescent="0.25"/>
    <row r="1126" ht="15" x14ac:dyDescent="0.25"/>
    <row r="1127" ht="15" x14ac:dyDescent="0.25"/>
    <row r="1128" ht="15" x14ac:dyDescent="0.25"/>
    <row r="1129" ht="15" x14ac:dyDescent="0.25"/>
    <row r="1130" ht="15" x14ac:dyDescent="0.25"/>
    <row r="1131" ht="15" x14ac:dyDescent="0.25"/>
    <row r="1132" ht="15" x14ac:dyDescent="0.25"/>
    <row r="1133" ht="15" x14ac:dyDescent="0.25"/>
    <row r="1134" ht="15" x14ac:dyDescent="0.25"/>
    <row r="1135" ht="15" x14ac:dyDescent="0.25"/>
    <row r="1136" ht="15" x14ac:dyDescent="0.25"/>
    <row r="1137" ht="15" x14ac:dyDescent="0.25"/>
    <row r="1138" ht="15" x14ac:dyDescent="0.25"/>
    <row r="1139" ht="15" x14ac:dyDescent="0.25"/>
    <row r="1140" ht="15" x14ac:dyDescent="0.25"/>
    <row r="1141" ht="15" x14ac:dyDescent="0.25"/>
    <row r="1142" ht="15" x14ac:dyDescent="0.25"/>
    <row r="1143" ht="15" x14ac:dyDescent="0.25"/>
    <row r="1144" ht="15" x14ac:dyDescent="0.25"/>
    <row r="1145" ht="15" x14ac:dyDescent="0.25"/>
    <row r="1146" ht="15" x14ac:dyDescent="0.25"/>
    <row r="1147" ht="15" x14ac:dyDescent="0.25"/>
    <row r="1148" ht="15" x14ac:dyDescent="0.25"/>
    <row r="1149" ht="15" x14ac:dyDescent="0.25"/>
    <row r="1150" ht="15" x14ac:dyDescent="0.25"/>
    <row r="1151" ht="15" x14ac:dyDescent="0.25"/>
    <row r="1152" ht="15" x14ac:dyDescent="0.25"/>
    <row r="1153" ht="15" x14ac:dyDescent="0.25"/>
    <row r="1154" ht="15" x14ac:dyDescent="0.25"/>
    <row r="1155" ht="15" x14ac:dyDescent="0.25"/>
    <row r="1156" ht="15" x14ac:dyDescent="0.25"/>
    <row r="1157" ht="15" x14ac:dyDescent="0.25"/>
    <row r="1158" ht="15" x14ac:dyDescent="0.25"/>
    <row r="1159" ht="15" x14ac:dyDescent="0.25"/>
    <row r="1160" ht="15" x14ac:dyDescent="0.25"/>
    <row r="1161" ht="15" x14ac:dyDescent="0.25"/>
    <row r="1162" ht="15" x14ac:dyDescent="0.25"/>
    <row r="1163" ht="15" x14ac:dyDescent="0.25"/>
    <row r="1164" ht="15" x14ac:dyDescent="0.25"/>
    <row r="1165" ht="15" x14ac:dyDescent="0.25"/>
    <row r="1166" ht="15" x14ac:dyDescent="0.25"/>
    <row r="1167" ht="15" x14ac:dyDescent="0.25"/>
    <row r="1168" ht="15" x14ac:dyDescent="0.25"/>
    <row r="1169" ht="15" x14ac:dyDescent="0.25"/>
    <row r="1170" ht="15" x14ac:dyDescent="0.25"/>
    <row r="1171" ht="15" x14ac:dyDescent="0.25"/>
    <row r="1172" ht="15" x14ac:dyDescent="0.25"/>
    <row r="1173" ht="15" x14ac:dyDescent="0.25"/>
    <row r="1174" ht="15" x14ac:dyDescent="0.25"/>
    <row r="1175" ht="15" x14ac:dyDescent="0.25"/>
    <row r="1176" ht="15" x14ac:dyDescent="0.25"/>
    <row r="1177" ht="15" x14ac:dyDescent="0.25"/>
    <row r="1178" ht="15" x14ac:dyDescent="0.25"/>
    <row r="1179" ht="15" x14ac:dyDescent="0.25"/>
    <row r="1180" ht="15" x14ac:dyDescent="0.25"/>
    <row r="1181" ht="15" x14ac:dyDescent="0.25"/>
    <row r="1182" ht="15" x14ac:dyDescent="0.25"/>
    <row r="1183" ht="15" x14ac:dyDescent="0.25"/>
    <row r="1184" ht="15" x14ac:dyDescent="0.25"/>
    <row r="1185" ht="15" x14ac:dyDescent="0.25"/>
    <row r="1186" ht="15" x14ac:dyDescent="0.25"/>
    <row r="1187" ht="15" x14ac:dyDescent="0.25"/>
    <row r="1188" ht="15" x14ac:dyDescent="0.25"/>
    <row r="1189" ht="15" x14ac:dyDescent="0.25"/>
    <row r="1190" ht="15" x14ac:dyDescent="0.25"/>
    <row r="1191" ht="15" x14ac:dyDescent="0.25"/>
    <row r="1192" ht="15" x14ac:dyDescent="0.25"/>
    <row r="1193" ht="15" x14ac:dyDescent="0.25"/>
    <row r="1194" ht="15" x14ac:dyDescent="0.25"/>
    <row r="1195" ht="15" x14ac:dyDescent="0.25"/>
    <row r="1196" ht="15" x14ac:dyDescent="0.25"/>
    <row r="1197" ht="15" x14ac:dyDescent="0.25"/>
    <row r="1198" ht="15" x14ac:dyDescent="0.25"/>
    <row r="1199" ht="15" x14ac:dyDescent="0.25"/>
    <row r="1200" ht="15" x14ac:dyDescent="0.25"/>
    <row r="1201" ht="15" x14ac:dyDescent="0.25"/>
    <row r="1202" ht="15" x14ac:dyDescent="0.25"/>
    <row r="1203" ht="15" x14ac:dyDescent="0.25"/>
    <row r="1204" ht="15" x14ac:dyDescent="0.25"/>
    <row r="1205" ht="15" x14ac:dyDescent="0.25"/>
    <row r="1206" ht="15" x14ac:dyDescent="0.25"/>
    <row r="1207" ht="15" x14ac:dyDescent="0.25"/>
    <row r="1208" ht="15" x14ac:dyDescent="0.25"/>
    <row r="1209" ht="15" x14ac:dyDescent="0.25"/>
    <row r="1210" ht="15" x14ac:dyDescent="0.25"/>
    <row r="1211" ht="15" x14ac:dyDescent="0.25"/>
    <row r="1212" ht="15" x14ac:dyDescent="0.25"/>
    <row r="1213" ht="15" x14ac:dyDescent="0.25"/>
    <row r="1214" ht="15" x14ac:dyDescent="0.25"/>
    <row r="1215" ht="15" x14ac:dyDescent="0.25"/>
    <row r="1216" ht="15" x14ac:dyDescent="0.25"/>
    <row r="1217" ht="15" x14ac:dyDescent="0.25"/>
    <row r="1218" ht="15" x14ac:dyDescent="0.25"/>
    <row r="1219" ht="15" x14ac:dyDescent="0.25"/>
    <row r="1220" ht="15" x14ac:dyDescent="0.25"/>
    <row r="1221" ht="15" x14ac:dyDescent="0.25"/>
    <row r="1222" ht="15" x14ac:dyDescent="0.25"/>
    <row r="1223" ht="15" x14ac:dyDescent="0.25"/>
    <row r="1224" ht="15" x14ac:dyDescent="0.25"/>
    <row r="1225" ht="15" x14ac:dyDescent="0.25"/>
    <row r="1226" ht="15" x14ac:dyDescent="0.25"/>
    <row r="1227" ht="15" x14ac:dyDescent="0.25"/>
    <row r="1228" ht="15" x14ac:dyDescent="0.25"/>
    <row r="1229" ht="15" x14ac:dyDescent="0.25"/>
    <row r="1230" ht="15" x14ac:dyDescent="0.25"/>
    <row r="1231" ht="15" x14ac:dyDescent="0.25"/>
    <row r="1232" ht="15" x14ac:dyDescent="0.25"/>
    <row r="1233" ht="15" x14ac:dyDescent="0.25"/>
    <row r="1234" ht="15" x14ac:dyDescent="0.25"/>
    <row r="1235" ht="15" x14ac:dyDescent="0.25"/>
    <row r="1236" ht="15" x14ac:dyDescent="0.25"/>
    <row r="1237" ht="15" x14ac:dyDescent="0.25"/>
    <row r="1238" ht="15" x14ac:dyDescent="0.25"/>
    <row r="1239" ht="15" x14ac:dyDescent="0.25"/>
    <row r="1240" ht="15" x14ac:dyDescent="0.25"/>
    <row r="1241" ht="15" x14ac:dyDescent="0.25"/>
    <row r="1242" ht="15" x14ac:dyDescent="0.25"/>
    <row r="1243" ht="15" x14ac:dyDescent="0.25"/>
    <row r="1244" ht="15" x14ac:dyDescent="0.25"/>
    <row r="1245" ht="15" x14ac:dyDescent="0.25"/>
    <row r="1246" ht="15" x14ac:dyDescent="0.25"/>
    <row r="1247" ht="15" x14ac:dyDescent="0.25"/>
    <row r="1248" ht="15" x14ac:dyDescent="0.25"/>
    <row r="1249" ht="15" x14ac:dyDescent="0.25"/>
    <row r="1250" ht="15" x14ac:dyDescent="0.25"/>
    <row r="1251" ht="15" x14ac:dyDescent="0.25"/>
    <row r="1252" ht="15" x14ac:dyDescent="0.25"/>
    <row r="1253" ht="15" x14ac:dyDescent="0.25"/>
    <row r="1254" ht="15" x14ac:dyDescent="0.25"/>
    <row r="1255" ht="15" x14ac:dyDescent="0.25"/>
    <row r="1256" ht="15" x14ac:dyDescent="0.25"/>
    <row r="1257" ht="15" x14ac:dyDescent="0.25"/>
    <row r="1258" ht="15" x14ac:dyDescent="0.25"/>
    <row r="1259" ht="15" x14ac:dyDescent="0.25"/>
    <row r="1260" ht="15" x14ac:dyDescent="0.25"/>
    <row r="1261" ht="15" x14ac:dyDescent="0.25"/>
    <row r="1262" ht="15" x14ac:dyDescent="0.25"/>
    <row r="1263" ht="15" x14ac:dyDescent="0.25"/>
    <row r="1264" ht="15" x14ac:dyDescent="0.25"/>
    <row r="1265" ht="15" x14ac:dyDescent="0.25"/>
    <row r="1266" ht="15" x14ac:dyDescent="0.25"/>
    <row r="1267" ht="15" x14ac:dyDescent="0.25"/>
    <row r="1268" ht="15" x14ac:dyDescent="0.25"/>
    <row r="1269" ht="15" x14ac:dyDescent="0.25"/>
    <row r="1270" ht="15" x14ac:dyDescent="0.25"/>
    <row r="1271" ht="15" x14ac:dyDescent="0.25"/>
    <row r="1272" ht="15" x14ac:dyDescent="0.25"/>
    <row r="1273" ht="15" x14ac:dyDescent="0.25"/>
    <row r="1274" ht="15" x14ac:dyDescent="0.25"/>
    <row r="1275" ht="15" x14ac:dyDescent="0.25"/>
    <row r="1276" ht="15" x14ac:dyDescent="0.25"/>
    <row r="1277" ht="15" x14ac:dyDescent="0.25"/>
    <row r="1278" ht="15" x14ac:dyDescent="0.25"/>
    <row r="1279" ht="15" x14ac:dyDescent="0.25"/>
    <row r="1280" ht="15" x14ac:dyDescent="0.25"/>
    <row r="1281" ht="15" x14ac:dyDescent="0.25"/>
    <row r="1282" ht="15" x14ac:dyDescent="0.25"/>
    <row r="1283" ht="15" x14ac:dyDescent="0.25"/>
    <row r="1284" ht="15" x14ac:dyDescent="0.25"/>
    <row r="1285" ht="15" x14ac:dyDescent="0.25"/>
    <row r="1286" ht="15" x14ac:dyDescent="0.25"/>
    <row r="1287" ht="15" x14ac:dyDescent="0.25"/>
    <row r="1288" ht="15" x14ac:dyDescent="0.25"/>
    <row r="1289" ht="15" x14ac:dyDescent="0.25"/>
    <row r="1290" ht="15" x14ac:dyDescent="0.25"/>
    <row r="1291" ht="15" x14ac:dyDescent="0.25"/>
    <row r="1292" ht="15" x14ac:dyDescent="0.25"/>
    <row r="1293" ht="15" x14ac:dyDescent="0.25"/>
    <row r="1294" ht="15" x14ac:dyDescent="0.25"/>
    <row r="1295" ht="15" x14ac:dyDescent="0.25"/>
    <row r="1296" ht="15" x14ac:dyDescent="0.25"/>
    <row r="1297" ht="15" x14ac:dyDescent="0.25"/>
    <row r="1298" ht="15" x14ac:dyDescent="0.25"/>
    <row r="1299" ht="15" x14ac:dyDescent="0.25"/>
    <row r="1300" ht="15" x14ac:dyDescent="0.25"/>
    <row r="1301" ht="15" x14ac:dyDescent="0.25"/>
    <row r="1302" ht="15" x14ac:dyDescent="0.25"/>
    <row r="1303" ht="15" x14ac:dyDescent="0.25"/>
    <row r="1304" ht="15" x14ac:dyDescent="0.25"/>
    <row r="1305" ht="15" x14ac:dyDescent="0.25"/>
    <row r="1306" ht="15" x14ac:dyDescent="0.25"/>
    <row r="1307" ht="15" x14ac:dyDescent="0.25"/>
    <row r="1308" ht="15" x14ac:dyDescent="0.25"/>
    <row r="1309" ht="15" x14ac:dyDescent="0.25"/>
    <row r="1310" ht="15" x14ac:dyDescent="0.25"/>
    <row r="1311" ht="15" x14ac:dyDescent="0.25"/>
    <row r="1312" ht="15" x14ac:dyDescent="0.25"/>
    <row r="1313" ht="15" x14ac:dyDescent="0.25"/>
    <row r="1314" ht="15" x14ac:dyDescent="0.25"/>
    <row r="1315" ht="15" x14ac:dyDescent="0.25"/>
    <row r="1316" ht="15" x14ac:dyDescent="0.25"/>
    <row r="1317" ht="15" x14ac:dyDescent="0.25"/>
    <row r="1318" ht="15" x14ac:dyDescent="0.25"/>
    <row r="1319" ht="15" x14ac:dyDescent="0.25"/>
    <row r="1320" ht="15" x14ac:dyDescent="0.25"/>
    <row r="1321" ht="15" x14ac:dyDescent="0.25"/>
    <row r="1322" ht="15" x14ac:dyDescent="0.25"/>
    <row r="1323" ht="15" x14ac:dyDescent="0.25"/>
    <row r="1324" ht="15" x14ac:dyDescent="0.25"/>
    <row r="1325" ht="15" x14ac:dyDescent="0.25"/>
    <row r="1326" ht="15" x14ac:dyDescent="0.25"/>
    <row r="1327" ht="15" x14ac:dyDescent="0.25"/>
    <row r="1328" ht="15" x14ac:dyDescent="0.25"/>
    <row r="1329" ht="15" x14ac:dyDescent="0.25"/>
    <row r="1330" ht="15" x14ac:dyDescent="0.25"/>
    <row r="1331" ht="15" x14ac:dyDescent="0.25"/>
    <row r="1332" ht="15" x14ac:dyDescent="0.25"/>
    <row r="1333" ht="15" x14ac:dyDescent="0.25"/>
    <row r="1334" ht="15" x14ac:dyDescent="0.25"/>
    <row r="1335" ht="15" x14ac:dyDescent="0.25"/>
    <row r="1336" ht="15" x14ac:dyDescent="0.25"/>
    <row r="1337" ht="15" x14ac:dyDescent="0.25"/>
    <row r="1338" ht="15" x14ac:dyDescent="0.25"/>
    <row r="1339" ht="15" x14ac:dyDescent="0.25"/>
    <row r="1340" ht="15" x14ac:dyDescent="0.25"/>
    <row r="1341" ht="15" x14ac:dyDescent="0.25"/>
    <row r="1342" ht="15" x14ac:dyDescent="0.25"/>
    <row r="1343" ht="15" x14ac:dyDescent="0.25"/>
    <row r="1344" ht="15" x14ac:dyDescent="0.25"/>
    <row r="1345" ht="15" x14ac:dyDescent="0.25"/>
    <row r="1346" ht="15" x14ac:dyDescent="0.25"/>
    <row r="1347" ht="15" x14ac:dyDescent="0.25"/>
    <row r="1348" ht="15" x14ac:dyDescent="0.25"/>
    <row r="1349" ht="15" x14ac:dyDescent="0.25"/>
    <row r="1350" ht="15" x14ac:dyDescent="0.25"/>
    <row r="1351" ht="15" x14ac:dyDescent="0.25"/>
    <row r="1352" ht="15" x14ac:dyDescent="0.25"/>
    <row r="1353" ht="15" x14ac:dyDescent="0.25"/>
    <row r="1354" ht="15" x14ac:dyDescent="0.25"/>
    <row r="1355" ht="15" x14ac:dyDescent="0.25"/>
    <row r="1356" ht="15" x14ac:dyDescent="0.25"/>
    <row r="1357" ht="15" x14ac:dyDescent="0.25"/>
    <row r="1358" ht="15" x14ac:dyDescent="0.25"/>
    <row r="1359" ht="15" x14ac:dyDescent="0.25"/>
    <row r="1360" ht="15" x14ac:dyDescent="0.25"/>
    <row r="1361" ht="15" x14ac:dyDescent="0.25"/>
    <row r="1362" ht="15" x14ac:dyDescent="0.25"/>
    <row r="1363" ht="15" x14ac:dyDescent="0.25"/>
    <row r="1364" ht="15" x14ac:dyDescent="0.25"/>
    <row r="1365" ht="15" x14ac:dyDescent="0.25"/>
    <row r="1366" ht="15" x14ac:dyDescent="0.25"/>
    <row r="1367" ht="15" x14ac:dyDescent="0.25"/>
    <row r="1368" ht="15" x14ac:dyDescent="0.25"/>
    <row r="1369" ht="15" x14ac:dyDescent="0.25"/>
    <row r="1370" ht="15" x14ac:dyDescent="0.25"/>
    <row r="1371" ht="15" x14ac:dyDescent="0.25"/>
    <row r="1372" ht="15" x14ac:dyDescent="0.25"/>
    <row r="1373" ht="15" x14ac:dyDescent="0.25"/>
    <row r="1374" ht="15" x14ac:dyDescent="0.25"/>
    <row r="1375" ht="15" x14ac:dyDescent="0.25"/>
    <row r="1376" ht="15" x14ac:dyDescent="0.25"/>
    <row r="1377" ht="15" x14ac:dyDescent="0.25"/>
    <row r="1378" ht="15" x14ac:dyDescent="0.25"/>
    <row r="1379" ht="15" x14ac:dyDescent="0.25"/>
    <row r="1380" ht="15" x14ac:dyDescent="0.25"/>
    <row r="1381" ht="15" x14ac:dyDescent="0.25"/>
    <row r="1382" ht="15" x14ac:dyDescent="0.25"/>
    <row r="1383" ht="15" x14ac:dyDescent="0.25"/>
    <row r="1384" ht="15" x14ac:dyDescent="0.25"/>
    <row r="1385" ht="15" x14ac:dyDescent="0.25"/>
    <row r="1386" ht="15" x14ac:dyDescent="0.25"/>
    <row r="1387" ht="15" x14ac:dyDescent="0.25"/>
    <row r="1388" ht="15" x14ac:dyDescent="0.25"/>
    <row r="1389" ht="15" x14ac:dyDescent="0.25"/>
    <row r="1390" ht="15" x14ac:dyDescent="0.25"/>
    <row r="1391" ht="15" x14ac:dyDescent="0.25"/>
    <row r="1392" ht="15" x14ac:dyDescent="0.25"/>
    <row r="1393" ht="15" x14ac:dyDescent="0.25"/>
    <row r="1394" ht="15" x14ac:dyDescent="0.25"/>
    <row r="1395" ht="15" x14ac:dyDescent="0.25"/>
    <row r="1396" ht="15" x14ac:dyDescent="0.25"/>
    <row r="1397" ht="15" x14ac:dyDescent="0.25"/>
    <row r="1398" ht="15" x14ac:dyDescent="0.25"/>
    <row r="1399" ht="15" x14ac:dyDescent="0.25"/>
    <row r="1400" ht="15" x14ac:dyDescent="0.25"/>
    <row r="1401" ht="15" x14ac:dyDescent="0.25"/>
    <row r="1402" ht="15" x14ac:dyDescent="0.25"/>
    <row r="1403" ht="15" x14ac:dyDescent="0.25"/>
    <row r="1404" ht="15" x14ac:dyDescent="0.25"/>
    <row r="1405" ht="15" x14ac:dyDescent="0.25"/>
    <row r="1406" ht="15" x14ac:dyDescent="0.25"/>
    <row r="1407" ht="15" x14ac:dyDescent="0.25"/>
    <row r="1408" ht="15" x14ac:dyDescent="0.25"/>
    <row r="1409" ht="15" x14ac:dyDescent="0.25"/>
    <row r="1410" ht="15" x14ac:dyDescent="0.25"/>
    <row r="1411" ht="15" x14ac:dyDescent="0.25"/>
    <row r="1412" ht="15" x14ac:dyDescent="0.25"/>
    <row r="1413" ht="15" x14ac:dyDescent="0.25"/>
    <row r="1414" ht="15" x14ac:dyDescent="0.25"/>
    <row r="1415" ht="15" x14ac:dyDescent="0.25"/>
    <row r="1416" ht="15" x14ac:dyDescent="0.25"/>
    <row r="1417" ht="15" x14ac:dyDescent="0.25"/>
    <row r="1418" ht="15" x14ac:dyDescent="0.25"/>
    <row r="1419" ht="15" x14ac:dyDescent="0.25"/>
    <row r="1420" ht="15" x14ac:dyDescent="0.25"/>
    <row r="1421" ht="15" x14ac:dyDescent="0.25"/>
    <row r="1422" ht="15" x14ac:dyDescent="0.25"/>
    <row r="1423" ht="15" x14ac:dyDescent="0.25"/>
    <row r="1424" ht="15" x14ac:dyDescent="0.25"/>
    <row r="1425" ht="15" x14ac:dyDescent="0.25"/>
    <row r="1426" ht="15" x14ac:dyDescent="0.25"/>
    <row r="1427" ht="15" x14ac:dyDescent="0.25"/>
    <row r="1428" ht="15" x14ac:dyDescent="0.25"/>
    <row r="1429" ht="15" x14ac:dyDescent="0.25"/>
    <row r="1430" ht="15" x14ac:dyDescent="0.25"/>
    <row r="1431" ht="15" x14ac:dyDescent="0.25"/>
    <row r="1432" ht="15" x14ac:dyDescent="0.25"/>
    <row r="1433" ht="15" x14ac:dyDescent="0.25"/>
    <row r="1434" ht="15" x14ac:dyDescent="0.25"/>
    <row r="1435" ht="15" x14ac:dyDescent="0.25"/>
    <row r="1436" ht="15" x14ac:dyDescent="0.25"/>
    <row r="1437" ht="15" x14ac:dyDescent="0.25"/>
    <row r="1438" ht="15" x14ac:dyDescent="0.25"/>
    <row r="1439" ht="15" x14ac:dyDescent="0.25"/>
    <row r="1440" ht="15" x14ac:dyDescent="0.25"/>
    <row r="1441" ht="15" x14ac:dyDescent="0.25"/>
    <row r="1442" ht="15" x14ac:dyDescent="0.25"/>
    <row r="1443" ht="15" x14ac:dyDescent="0.25"/>
    <row r="1444" ht="15" x14ac:dyDescent="0.25"/>
    <row r="1445" ht="15" x14ac:dyDescent="0.25"/>
    <row r="1446" ht="15" x14ac:dyDescent="0.25"/>
    <row r="1447" ht="15" x14ac:dyDescent="0.25"/>
    <row r="1448" ht="15" x14ac:dyDescent="0.25"/>
    <row r="1449" ht="15" x14ac:dyDescent="0.25"/>
    <row r="1450" ht="15" x14ac:dyDescent="0.25"/>
    <row r="1451" ht="15" x14ac:dyDescent="0.25"/>
    <row r="1452" ht="15" x14ac:dyDescent="0.25"/>
    <row r="1453" ht="15" x14ac:dyDescent="0.25"/>
    <row r="1454" ht="15" x14ac:dyDescent="0.25"/>
    <row r="1455" ht="15" x14ac:dyDescent="0.25"/>
    <row r="1456" ht="15" x14ac:dyDescent="0.25"/>
    <row r="1457" ht="15" x14ac:dyDescent="0.25"/>
    <row r="1458" ht="15" x14ac:dyDescent="0.25"/>
    <row r="1459" ht="15" x14ac:dyDescent="0.25"/>
    <row r="1460" ht="15" x14ac:dyDescent="0.25"/>
    <row r="1461" ht="15" x14ac:dyDescent="0.25"/>
    <row r="1462" ht="15" x14ac:dyDescent="0.25"/>
    <row r="1463" ht="15" x14ac:dyDescent="0.25"/>
    <row r="1464" ht="15" x14ac:dyDescent="0.25"/>
    <row r="1465" ht="15" x14ac:dyDescent="0.25"/>
    <row r="1466" ht="15" x14ac:dyDescent="0.25"/>
    <row r="1467" ht="15" x14ac:dyDescent="0.25"/>
    <row r="1468" ht="15" x14ac:dyDescent="0.25"/>
    <row r="1469" ht="15" x14ac:dyDescent="0.25"/>
    <row r="1470" ht="15" x14ac:dyDescent="0.25"/>
    <row r="1471" ht="15" x14ac:dyDescent="0.25"/>
    <row r="1472" ht="15" x14ac:dyDescent="0.25"/>
    <row r="1473" ht="15" x14ac:dyDescent="0.25"/>
    <row r="1474" ht="15" x14ac:dyDescent="0.25"/>
    <row r="1475" ht="15" x14ac:dyDescent="0.25"/>
    <row r="1476" ht="15" x14ac:dyDescent="0.25"/>
    <row r="1477" ht="15" x14ac:dyDescent="0.25"/>
    <row r="1478" ht="15" x14ac:dyDescent="0.25"/>
    <row r="1479" ht="15" x14ac:dyDescent="0.25"/>
    <row r="1480" ht="15" x14ac:dyDescent="0.25"/>
    <row r="1481" ht="15" x14ac:dyDescent="0.25"/>
    <row r="1482" ht="15" x14ac:dyDescent="0.25"/>
    <row r="1483" ht="15" x14ac:dyDescent="0.25"/>
    <row r="1484" ht="15" x14ac:dyDescent="0.25"/>
    <row r="1485" ht="15" x14ac:dyDescent="0.25"/>
    <row r="1486" ht="15" x14ac:dyDescent="0.25"/>
    <row r="1487" ht="15" x14ac:dyDescent="0.25"/>
    <row r="1488" ht="15" x14ac:dyDescent="0.25"/>
    <row r="1489" ht="15" x14ac:dyDescent="0.25"/>
    <row r="1490" ht="15" x14ac:dyDescent="0.25"/>
    <row r="1491" ht="15" x14ac:dyDescent="0.25"/>
    <row r="1492" ht="15" x14ac:dyDescent="0.25"/>
    <row r="1493" ht="15" x14ac:dyDescent="0.25"/>
    <row r="1494" ht="15" x14ac:dyDescent="0.25"/>
    <row r="1495" ht="15" x14ac:dyDescent="0.25"/>
    <row r="1496" ht="15" x14ac:dyDescent="0.25"/>
    <row r="1497" ht="15" x14ac:dyDescent="0.25"/>
    <row r="1498" ht="15" x14ac:dyDescent="0.25"/>
    <row r="1499" ht="15" x14ac:dyDescent="0.25"/>
    <row r="1500" ht="15" x14ac:dyDescent="0.25"/>
    <row r="1501" ht="15" x14ac:dyDescent="0.25"/>
    <row r="1502" ht="15" x14ac:dyDescent="0.25"/>
    <row r="1503" ht="15" x14ac:dyDescent="0.25"/>
    <row r="1504" ht="15" x14ac:dyDescent="0.25"/>
    <row r="1505" ht="15" x14ac:dyDescent="0.25"/>
    <row r="1506" ht="15" x14ac:dyDescent="0.25"/>
    <row r="1507" ht="15" x14ac:dyDescent="0.25"/>
    <row r="1508" ht="15" x14ac:dyDescent="0.25"/>
    <row r="1509" ht="15" x14ac:dyDescent="0.25"/>
    <row r="1510" ht="15" x14ac:dyDescent="0.25"/>
    <row r="1511" ht="15" x14ac:dyDescent="0.25"/>
    <row r="1512" ht="15" x14ac:dyDescent="0.25"/>
    <row r="1513" ht="15" x14ac:dyDescent="0.25"/>
    <row r="1514" ht="15" x14ac:dyDescent="0.25"/>
    <row r="1515" ht="15" x14ac:dyDescent="0.25"/>
    <row r="1516" ht="15" x14ac:dyDescent="0.25"/>
    <row r="1517" ht="15" x14ac:dyDescent="0.25"/>
    <row r="1518" ht="15" x14ac:dyDescent="0.25"/>
    <row r="1519" ht="15" x14ac:dyDescent="0.25"/>
    <row r="1520" ht="15" x14ac:dyDescent="0.25"/>
    <row r="1521" ht="15" x14ac:dyDescent="0.25"/>
    <row r="1522" ht="15" x14ac:dyDescent="0.25"/>
    <row r="1523" ht="15" x14ac:dyDescent="0.25"/>
    <row r="1524" ht="15" x14ac:dyDescent="0.25"/>
    <row r="1525" ht="15" x14ac:dyDescent="0.25"/>
    <row r="1526" ht="15" x14ac:dyDescent="0.25"/>
    <row r="1527" ht="15" x14ac:dyDescent="0.25"/>
    <row r="1528" ht="15" x14ac:dyDescent="0.25"/>
    <row r="1529" ht="15" x14ac:dyDescent="0.25"/>
    <row r="1530" ht="15" x14ac:dyDescent="0.25"/>
    <row r="1531" ht="15" x14ac:dyDescent="0.25"/>
    <row r="1532" ht="15" x14ac:dyDescent="0.25"/>
    <row r="1533" ht="15" x14ac:dyDescent="0.25"/>
    <row r="1534" ht="15" x14ac:dyDescent="0.25"/>
    <row r="1535" ht="15" x14ac:dyDescent="0.25"/>
    <row r="1536" ht="15" x14ac:dyDescent="0.25"/>
    <row r="1537" ht="15" x14ac:dyDescent="0.25"/>
    <row r="1538" ht="15" x14ac:dyDescent="0.25"/>
    <row r="1539" ht="15" x14ac:dyDescent="0.25"/>
    <row r="1540" ht="15" x14ac:dyDescent="0.25"/>
    <row r="1541" ht="15" x14ac:dyDescent="0.25"/>
    <row r="1542" ht="15" x14ac:dyDescent="0.25"/>
    <row r="1543" ht="15" x14ac:dyDescent="0.25"/>
    <row r="1544" ht="15" x14ac:dyDescent="0.25"/>
    <row r="1545" ht="15" x14ac:dyDescent="0.25"/>
    <row r="1546" ht="15" x14ac:dyDescent="0.25"/>
    <row r="1547" ht="15" x14ac:dyDescent="0.25"/>
    <row r="1548" ht="15" x14ac:dyDescent="0.25"/>
    <row r="1549" ht="15" x14ac:dyDescent="0.25"/>
    <row r="1550" ht="15" x14ac:dyDescent="0.25"/>
    <row r="1551" ht="15" x14ac:dyDescent="0.25"/>
    <row r="1552" ht="15" x14ac:dyDescent="0.25"/>
    <row r="1553" ht="15" x14ac:dyDescent="0.25"/>
    <row r="1554" ht="15" x14ac:dyDescent="0.25"/>
    <row r="1555" ht="15" x14ac:dyDescent="0.25"/>
    <row r="1556" ht="15" x14ac:dyDescent="0.25"/>
    <row r="1557" ht="15" x14ac:dyDescent="0.25"/>
    <row r="1558" ht="15" x14ac:dyDescent="0.25"/>
    <row r="1559" ht="15" x14ac:dyDescent="0.25"/>
    <row r="1560" ht="15" x14ac:dyDescent="0.25"/>
    <row r="1561" ht="15" x14ac:dyDescent="0.25"/>
    <row r="1562" ht="15" x14ac:dyDescent="0.25"/>
    <row r="1563" ht="15" x14ac:dyDescent="0.25"/>
    <row r="1564" ht="15" x14ac:dyDescent="0.25"/>
    <row r="1565" ht="15" x14ac:dyDescent="0.25"/>
    <row r="1566" ht="15" x14ac:dyDescent="0.25"/>
    <row r="1567" ht="15" x14ac:dyDescent="0.25"/>
    <row r="1568" ht="15" x14ac:dyDescent="0.25"/>
    <row r="1569" ht="15" x14ac:dyDescent="0.25"/>
    <row r="1570" ht="15" x14ac:dyDescent="0.25"/>
    <row r="1571" ht="15" x14ac:dyDescent="0.25"/>
    <row r="1572" ht="15" x14ac:dyDescent="0.25"/>
    <row r="1573" ht="15" x14ac:dyDescent="0.25"/>
    <row r="1574" ht="15" x14ac:dyDescent="0.25"/>
    <row r="1575" ht="15" x14ac:dyDescent="0.25"/>
    <row r="1576" ht="15" x14ac:dyDescent="0.25"/>
    <row r="1577" ht="15" x14ac:dyDescent="0.25"/>
    <row r="1578" ht="15" x14ac:dyDescent="0.25"/>
    <row r="1579" ht="15" x14ac:dyDescent="0.25"/>
    <row r="1580" ht="15" x14ac:dyDescent="0.25"/>
    <row r="1581" ht="15" x14ac:dyDescent="0.25"/>
    <row r="1582" ht="15" x14ac:dyDescent="0.25"/>
    <row r="1583" ht="15" x14ac:dyDescent="0.25"/>
    <row r="1584" ht="15" x14ac:dyDescent="0.25"/>
    <row r="1585" ht="15" x14ac:dyDescent="0.25"/>
    <row r="1586" ht="15" x14ac:dyDescent="0.25"/>
    <row r="1587" ht="15" x14ac:dyDescent="0.25"/>
    <row r="1588" ht="15" x14ac:dyDescent="0.25"/>
    <row r="1589" ht="15" x14ac:dyDescent="0.25"/>
    <row r="1590" ht="15" x14ac:dyDescent="0.25"/>
    <row r="1591" ht="15" x14ac:dyDescent="0.25"/>
    <row r="1592" ht="15" x14ac:dyDescent="0.25"/>
    <row r="1593" ht="15" x14ac:dyDescent="0.25"/>
    <row r="1594" ht="15" x14ac:dyDescent="0.25"/>
    <row r="1595" ht="15" x14ac:dyDescent="0.25"/>
    <row r="1596" ht="15" x14ac:dyDescent="0.25"/>
    <row r="1597" ht="15" x14ac:dyDescent="0.25"/>
    <row r="1598" ht="15" x14ac:dyDescent="0.25"/>
    <row r="1599" ht="15" x14ac:dyDescent="0.25"/>
    <row r="1600" ht="15" x14ac:dyDescent="0.25"/>
    <row r="1601" ht="15" x14ac:dyDescent="0.25"/>
    <row r="1602" ht="15" x14ac:dyDescent="0.25"/>
    <row r="1603" ht="15" x14ac:dyDescent="0.25"/>
    <row r="1604" ht="15" x14ac:dyDescent="0.25"/>
    <row r="1605" ht="15" x14ac:dyDescent="0.25"/>
    <row r="1606" ht="15" x14ac:dyDescent="0.25"/>
    <row r="1607" ht="15" x14ac:dyDescent="0.25"/>
    <row r="1608" ht="15" x14ac:dyDescent="0.25"/>
    <row r="1609" ht="15" x14ac:dyDescent="0.25"/>
    <row r="1610" ht="15" x14ac:dyDescent="0.25"/>
    <row r="1611" ht="15" x14ac:dyDescent="0.25"/>
    <row r="1612" ht="15" x14ac:dyDescent="0.25"/>
    <row r="1613" ht="15" x14ac:dyDescent="0.25"/>
    <row r="1614" ht="15" x14ac:dyDescent="0.25"/>
    <row r="1615" ht="15" x14ac:dyDescent="0.25"/>
    <row r="1616" ht="15" x14ac:dyDescent="0.25"/>
    <row r="1617" ht="15" x14ac:dyDescent="0.25"/>
    <row r="1618" ht="15" x14ac:dyDescent="0.25"/>
    <row r="1619" ht="15" x14ac:dyDescent="0.25"/>
    <row r="1620" ht="15" x14ac:dyDescent="0.25"/>
    <row r="1621" ht="15" x14ac:dyDescent="0.25"/>
    <row r="1622" ht="15" x14ac:dyDescent="0.25"/>
    <row r="1623" ht="15" x14ac:dyDescent="0.25"/>
    <row r="1624" ht="15" x14ac:dyDescent="0.25"/>
    <row r="1625" ht="15" x14ac:dyDescent="0.25"/>
    <row r="1626" ht="15" x14ac:dyDescent="0.25"/>
    <row r="1627" ht="15" x14ac:dyDescent="0.25"/>
    <row r="1628" ht="15" x14ac:dyDescent="0.25"/>
    <row r="1629" ht="15" x14ac:dyDescent="0.25"/>
    <row r="1630" ht="15" x14ac:dyDescent="0.25"/>
    <row r="1631" ht="15" x14ac:dyDescent="0.25"/>
    <row r="1632" ht="15" x14ac:dyDescent="0.25"/>
    <row r="1633" ht="15" x14ac:dyDescent="0.25"/>
    <row r="1634" ht="15" x14ac:dyDescent="0.25"/>
    <row r="1635" ht="15" x14ac:dyDescent="0.25"/>
    <row r="1636" ht="15" x14ac:dyDescent="0.25"/>
    <row r="1637" ht="15" x14ac:dyDescent="0.25"/>
    <row r="1638" ht="15" x14ac:dyDescent="0.25"/>
    <row r="1639" ht="15" x14ac:dyDescent="0.25"/>
    <row r="1640" ht="15" x14ac:dyDescent="0.25"/>
    <row r="1641" ht="15" x14ac:dyDescent="0.25"/>
    <row r="1642" ht="15" x14ac:dyDescent="0.25"/>
    <row r="1643" ht="15" x14ac:dyDescent="0.25"/>
    <row r="1644" ht="15" x14ac:dyDescent="0.25"/>
    <row r="1645" ht="15" x14ac:dyDescent="0.25"/>
    <row r="1646" ht="15" x14ac:dyDescent="0.25"/>
    <row r="1647" ht="15" x14ac:dyDescent="0.25"/>
    <row r="1648" ht="15" x14ac:dyDescent="0.25"/>
    <row r="1649" ht="15" x14ac:dyDescent="0.25"/>
    <row r="1650" ht="15" x14ac:dyDescent="0.25"/>
    <row r="1651" ht="15" x14ac:dyDescent="0.25"/>
    <row r="1652" ht="15" x14ac:dyDescent="0.25"/>
    <row r="1653" ht="15" x14ac:dyDescent="0.25"/>
    <row r="1654" ht="15" x14ac:dyDescent="0.25"/>
    <row r="1655" ht="15" x14ac:dyDescent="0.25"/>
    <row r="1656" ht="15" x14ac:dyDescent="0.25"/>
    <row r="1657" ht="15" x14ac:dyDescent="0.25"/>
    <row r="1658" ht="15" x14ac:dyDescent="0.25"/>
    <row r="1659" ht="15" x14ac:dyDescent="0.25"/>
    <row r="1660" ht="15" x14ac:dyDescent="0.25"/>
    <row r="1661" ht="15" x14ac:dyDescent="0.25"/>
    <row r="1662" ht="15" x14ac:dyDescent="0.25"/>
    <row r="1663" ht="15" x14ac:dyDescent="0.25"/>
    <row r="1664" ht="15" x14ac:dyDescent="0.25"/>
    <row r="1665" ht="15" x14ac:dyDescent="0.25"/>
    <row r="1666" ht="15" x14ac:dyDescent="0.25"/>
    <row r="1667" ht="15" x14ac:dyDescent="0.25"/>
    <row r="1668" ht="15" x14ac:dyDescent="0.25"/>
    <row r="1669" ht="15" x14ac:dyDescent="0.25"/>
    <row r="1670" ht="15" x14ac:dyDescent="0.25"/>
    <row r="1671" ht="15" x14ac:dyDescent="0.25"/>
    <row r="1672" ht="15" x14ac:dyDescent="0.25"/>
    <row r="1673" ht="15" x14ac:dyDescent="0.25"/>
    <row r="1674" ht="15" x14ac:dyDescent="0.25"/>
    <row r="1675" ht="15" x14ac:dyDescent="0.25"/>
    <row r="1676" ht="15" x14ac:dyDescent="0.25"/>
    <row r="1677" ht="15" x14ac:dyDescent="0.25"/>
    <row r="1678" ht="15" x14ac:dyDescent="0.25"/>
    <row r="1679" ht="15" x14ac:dyDescent="0.25"/>
    <row r="1680" ht="15" x14ac:dyDescent="0.25"/>
    <row r="1681" ht="15" x14ac:dyDescent="0.25"/>
    <row r="1682" ht="15" x14ac:dyDescent="0.25"/>
    <row r="1683" ht="15" x14ac:dyDescent="0.25"/>
    <row r="1684" ht="15" x14ac:dyDescent="0.25"/>
    <row r="1685" ht="15" x14ac:dyDescent="0.25"/>
    <row r="1686" ht="15" x14ac:dyDescent="0.25"/>
    <row r="1687" ht="15" x14ac:dyDescent="0.25"/>
    <row r="1688" ht="15" x14ac:dyDescent="0.25"/>
    <row r="1689" ht="15" x14ac:dyDescent="0.25"/>
    <row r="1690" ht="15" x14ac:dyDescent="0.25"/>
    <row r="1691" ht="15" x14ac:dyDescent="0.25"/>
    <row r="1692" ht="15" x14ac:dyDescent="0.25"/>
    <row r="1693" ht="15" x14ac:dyDescent="0.25"/>
    <row r="1694" ht="15" x14ac:dyDescent="0.25"/>
    <row r="1695" ht="15" x14ac:dyDescent="0.25"/>
    <row r="1696" ht="15" x14ac:dyDescent="0.25"/>
    <row r="1697" ht="15" x14ac:dyDescent="0.25"/>
    <row r="1698" ht="15" x14ac:dyDescent="0.25"/>
    <row r="1699" ht="15" x14ac:dyDescent="0.25"/>
    <row r="1700" ht="15" x14ac:dyDescent="0.25"/>
    <row r="1701" ht="15" x14ac:dyDescent="0.25"/>
    <row r="1702" ht="15" x14ac:dyDescent="0.25"/>
    <row r="1703" ht="15" x14ac:dyDescent="0.25"/>
    <row r="1704" ht="15" x14ac:dyDescent="0.25"/>
    <row r="1705" ht="15" x14ac:dyDescent="0.25"/>
    <row r="1706" ht="15" x14ac:dyDescent="0.25"/>
    <row r="1707" ht="15" x14ac:dyDescent="0.25"/>
    <row r="1708" ht="15" x14ac:dyDescent="0.25"/>
    <row r="1709" ht="15" x14ac:dyDescent="0.25"/>
    <row r="1710" ht="15" x14ac:dyDescent="0.25"/>
    <row r="1711" ht="15" x14ac:dyDescent="0.25"/>
    <row r="1712" ht="15" x14ac:dyDescent="0.25"/>
    <row r="1713" ht="15" x14ac:dyDescent="0.25"/>
    <row r="1714" ht="15" x14ac:dyDescent="0.25"/>
    <row r="1715" ht="15" x14ac:dyDescent="0.25"/>
    <row r="1716" ht="15" x14ac:dyDescent="0.25"/>
    <row r="1717" ht="15" x14ac:dyDescent="0.25"/>
    <row r="1718" ht="15" x14ac:dyDescent="0.25"/>
    <row r="1719" ht="15" x14ac:dyDescent="0.25"/>
    <row r="1720" ht="15" x14ac:dyDescent="0.25"/>
    <row r="1721" ht="15" x14ac:dyDescent="0.25"/>
    <row r="1722" ht="15" x14ac:dyDescent="0.25"/>
    <row r="1723" ht="15" x14ac:dyDescent="0.25"/>
    <row r="1724" ht="15" x14ac:dyDescent="0.25"/>
    <row r="1725" ht="15" x14ac:dyDescent="0.25"/>
    <row r="1726" ht="15" x14ac:dyDescent="0.25"/>
    <row r="1727" ht="15" x14ac:dyDescent="0.25"/>
    <row r="1728" ht="15" x14ac:dyDescent="0.25"/>
    <row r="1729" ht="15" x14ac:dyDescent="0.25"/>
    <row r="1730" ht="15" x14ac:dyDescent="0.25"/>
    <row r="1731" ht="15" x14ac:dyDescent="0.25"/>
    <row r="1732" ht="15" x14ac:dyDescent="0.25"/>
    <row r="1733" ht="15" x14ac:dyDescent="0.25"/>
    <row r="1734" ht="15" x14ac:dyDescent="0.25"/>
    <row r="1735" ht="15" x14ac:dyDescent="0.25"/>
    <row r="1736" ht="15" x14ac:dyDescent="0.25"/>
    <row r="1737" ht="15" x14ac:dyDescent="0.25"/>
    <row r="1738" ht="15" x14ac:dyDescent="0.25"/>
    <row r="1739" ht="15" x14ac:dyDescent="0.25"/>
    <row r="1740" ht="15" x14ac:dyDescent="0.25"/>
    <row r="1741" ht="15" x14ac:dyDescent="0.25"/>
    <row r="1742" ht="15" x14ac:dyDescent="0.25"/>
    <row r="1743" ht="15" x14ac:dyDescent="0.25"/>
    <row r="1744" ht="15" x14ac:dyDescent="0.25"/>
    <row r="1745" ht="15" x14ac:dyDescent="0.25"/>
    <row r="1746" ht="15" x14ac:dyDescent="0.25"/>
    <row r="1747" ht="15" x14ac:dyDescent="0.25"/>
    <row r="1748" ht="15" x14ac:dyDescent="0.25"/>
    <row r="1749" ht="15" x14ac:dyDescent="0.25"/>
    <row r="1750" ht="15" x14ac:dyDescent="0.25"/>
    <row r="1751" ht="15" x14ac:dyDescent="0.25"/>
    <row r="1752" ht="15" x14ac:dyDescent="0.25"/>
    <row r="1753" ht="15" x14ac:dyDescent="0.25"/>
    <row r="1754" ht="15" x14ac:dyDescent="0.25"/>
    <row r="1755" ht="15" x14ac:dyDescent="0.25"/>
    <row r="1756" ht="15" x14ac:dyDescent="0.25"/>
    <row r="1757" ht="15" x14ac:dyDescent="0.25"/>
    <row r="1758" ht="15" x14ac:dyDescent="0.25"/>
    <row r="1759" ht="15" x14ac:dyDescent="0.25"/>
    <row r="1760" ht="15" x14ac:dyDescent="0.25"/>
    <row r="1761" ht="15" x14ac:dyDescent="0.25"/>
    <row r="1762" ht="15" x14ac:dyDescent="0.25"/>
    <row r="1763" ht="15" x14ac:dyDescent="0.25"/>
    <row r="1764" ht="15" x14ac:dyDescent="0.25"/>
    <row r="1765" ht="15" x14ac:dyDescent="0.25"/>
    <row r="1766" ht="15" x14ac:dyDescent="0.25"/>
    <row r="1767" ht="15" x14ac:dyDescent="0.25"/>
    <row r="1768" ht="15" x14ac:dyDescent="0.25"/>
    <row r="1769" ht="15" x14ac:dyDescent="0.25"/>
    <row r="1770" ht="15" x14ac:dyDescent="0.25"/>
    <row r="1771" ht="15" x14ac:dyDescent="0.25"/>
    <row r="1772" ht="15" x14ac:dyDescent="0.25"/>
    <row r="1773" ht="15" x14ac:dyDescent="0.25"/>
    <row r="1774" ht="15" x14ac:dyDescent="0.25"/>
    <row r="1775" ht="15" x14ac:dyDescent="0.25"/>
    <row r="1776" ht="15" x14ac:dyDescent="0.25"/>
    <row r="1777" ht="15" x14ac:dyDescent="0.25"/>
    <row r="1778" ht="15" x14ac:dyDescent="0.25"/>
    <row r="1779" ht="15" x14ac:dyDescent="0.25"/>
    <row r="1780" ht="15" x14ac:dyDescent="0.25"/>
    <row r="1781" ht="15" x14ac:dyDescent="0.25"/>
    <row r="1782" ht="15" x14ac:dyDescent="0.25"/>
    <row r="1783" ht="15" x14ac:dyDescent="0.25"/>
    <row r="1784" ht="15" x14ac:dyDescent="0.25"/>
    <row r="1785" ht="15" x14ac:dyDescent="0.25"/>
    <row r="1786" ht="15" x14ac:dyDescent="0.25"/>
    <row r="1787" ht="15" x14ac:dyDescent="0.25"/>
    <row r="1788" ht="15" x14ac:dyDescent="0.25"/>
    <row r="1789" ht="15" x14ac:dyDescent="0.25"/>
    <row r="1790" ht="15" x14ac:dyDescent="0.25"/>
    <row r="1791" ht="15" x14ac:dyDescent="0.25"/>
    <row r="1792" ht="15" x14ac:dyDescent="0.25"/>
    <row r="1793" ht="15" x14ac:dyDescent="0.25"/>
    <row r="1794" ht="15" x14ac:dyDescent="0.25"/>
    <row r="1795" ht="15" x14ac:dyDescent="0.25"/>
    <row r="1796" ht="15" x14ac:dyDescent="0.25"/>
    <row r="1797" ht="15" x14ac:dyDescent="0.25"/>
    <row r="1798" ht="15" x14ac:dyDescent="0.25"/>
    <row r="1799" ht="15" x14ac:dyDescent="0.25"/>
    <row r="1800" ht="15" x14ac:dyDescent="0.25"/>
    <row r="1801" ht="15" x14ac:dyDescent="0.25"/>
    <row r="1802" ht="15" x14ac:dyDescent="0.25"/>
    <row r="1803" ht="15" x14ac:dyDescent="0.25"/>
    <row r="1804" ht="15" x14ac:dyDescent="0.25"/>
    <row r="1805" ht="15" x14ac:dyDescent="0.25"/>
    <row r="1806" ht="15" x14ac:dyDescent="0.25"/>
    <row r="1807" ht="15" x14ac:dyDescent="0.25"/>
    <row r="1808" ht="15" x14ac:dyDescent="0.25"/>
    <row r="1809" ht="15" x14ac:dyDescent="0.25"/>
    <row r="1810" ht="15" x14ac:dyDescent="0.25"/>
    <row r="1811" ht="15" x14ac:dyDescent="0.25"/>
    <row r="1812" ht="15" x14ac:dyDescent="0.25"/>
    <row r="1813" ht="15" x14ac:dyDescent="0.25"/>
    <row r="1814" ht="15" x14ac:dyDescent="0.25"/>
    <row r="1815" ht="15" x14ac:dyDescent="0.25"/>
    <row r="1816" ht="15" x14ac:dyDescent="0.25"/>
    <row r="1817" ht="15" x14ac:dyDescent="0.25"/>
    <row r="1818" ht="15" x14ac:dyDescent="0.25"/>
    <row r="1819" ht="15" x14ac:dyDescent="0.25"/>
    <row r="1820" ht="15" x14ac:dyDescent="0.25"/>
    <row r="1821" ht="15" x14ac:dyDescent="0.25"/>
    <row r="1822" ht="15" x14ac:dyDescent="0.25"/>
    <row r="1823" ht="15" x14ac:dyDescent="0.25"/>
    <row r="1824" ht="15" x14ac:dyDescent="0.25"/>
    <row r="1825" ht="15" x14ac:dyDescent="0.25"/>
    <row r="1826" ht="15" x14ac:dyDescent="0.25"/>
    <row r="1827" ht="15" x14ac:dyDescent="0.25"/>
    <row r="1828" ht="15" x14ac:dyDescent="0.25"/>
    <row r="1829" ht="15" x14ac:dyDescent="0.25"/>
    <row r="1830" ht="15" x14ac:dyDescent="0.25"/>
    <row r="1831" ht="15" x14ac:dyDescent="0.25"/>
    <row r="1832" ht="15" x14ac:dyDescent="0.25"/>
    <row r="1833" ht="15" x14ac:dyDescent="0.25"/>
    <row r="1834" ht="15" x14ac:dyDescent="0.25"/>
    <row r="1835" ht="15" x14ac:dyDescent="0.25"/>
    <row r="1836" ht="15" x14ac:dyDescent="0.25"/>
    <row r="1837" ht="15" x14ac:dyDescent="0.25"/>
    <row r="1838" ht="15" x14ac:dyDescent="0.25"/>
    <row r="1839" ht="15" x14ac:dyDescent="0.25"/>
    <row r="1840" ht="15" x14ac:dyDescent="0.25"/>
    <row r="1841" ht="15" x14ac:dyDescent="0.25"/>
    <row r="1842" ht="15" x14ac:dyDescent="0.25"/>
    <row r="1843" ht="15" x14ac:dyDescent="0.25"/>
    <row r="1844" ht="15" x14ac:dyDescent="0.25"/>
    <row r="1845" ht="15" x14ac:dyDescent="0.25"/>
    <row r="1846" ht="15" x14ac:dyDescent="0.25"/>
    <row r="1847" ht="15" x14ac:dyDescent="0.25"/>
    <row r="1848" ht="15" x14ac:dyDescent="0.25"/>
    <row r="1849" ht="15" x14ac:dyDescent="0.25"/>
    <row r="1850" ht="15" x14ac:dyDescent="0.25"/>
    <row r="1851" ht="15" x14ac:dyDescent="0.25"/>
    <row r="1852" ht="15" x14ac:dyDescent="0.25"/>
    <row r="1853" ht="15" x14ac:dyDescent="0.25"/>
    <row r="1854" ht="15" x14ac:dyDescent="0.25"/>
    <row r="1855" ht="15" x14ac:dyDescent="0.25"/>
    <row r="1856" ht="15" x14ac:dyDescent="0.25"/>
    <row r="1857" ht="15" x14ac:dyDescent="0.25"/>
    <row r="1858" ht="15" x14ac:dyDescent="0.25"/>
    <row r="1859" ht="15" x14ac:dyDescent="0.25"/>
    <row r="1860" ht="15" x14ac:dyDescent="0.25"/>
    <row r="1861" ht="15" x14ac:dyDescent="0.25"/>
    <row r="1862" ht="15" x14ac:dyDescent="0.25"/>
    <row r="1863" ht="15" x14ac:dyDescent="0.25"/>
    <row r="1864" ht="15" x14ac:dyDescent="0.25"/>
    <row r="1865" ht="15" x14ac:dyDescent="0.25"/>
    <row r="1866" ht="15" x14ac:dyDescent="0.25"/>
    <row r="1867" ht="15" x14ac:dyDescent="0.25"/>
    <row r="1868" ht="15" x14ac:dyDescent="0.25"/>
    <row r="1869" ht="15" x14ac:dyDescent="0.25"/>
    <row r="1870" ht="15" x14ac:dyDescent="0.25"/>
    <row r="1871" ht="15" x14ac:dyDescent="0.25"/>
    <row r="1872" ht="15" x14ac:dyDescent="0.25"/>
    <row r="1873" ht="15" x14ac:dyDescent="0.25"/>
    <row r="1874" ht="15" x14ac:dyDescent="0.25"/>
    <row r="1875" ht="15" x14ac:dyDescent="0.25"/>
    <row r="1876" ht="15" x14ac:dyDescent="0.25"/>
    <row r="1877" ht="15" x14ac:dyDescent="0.25"/>
    <row r="1878" ht="15" x14ac:dyDescent="0.25"/>
    <row r="1879" ht="15" x14ac:dyDescent="0.25"/>
    <row r="1880" ht="15" x14ac:dyDescent="0.25"/>
    <row r="1881" ht="15" x14ac:dyDescent="0.25"/>
    <row r="1882" ht="15" x14ac:dyDescent="0.25"/>
    <row r="1883" ht="15" x14ac:dyDescent="0.25"/>
    <row r="1884" ht="15" x14ac:dyDescent="0.25"/>
    <row r="1885" ht="15" x14ac:dyDescent="0.25"/>
    <row r="1886" ht="15" x14ac:dyDescent="0.25"/>
    <row r="1887" ht="15" x14ac:dyDescent="0.25"/>
    <row r="1888" ht="15" x14ac:dyDescent="0.25"/>
    <row r="1889" ht="15" x14ac:dyDescent="0.25"/>
    <row r="1890" ht="15" x14ac:dyDescent="0.25"/>
    <row r="1891" ht="15" x14ac:dyDescent="0.25"/>
    <row r="1892" ht="15" x14ac:dyDescent="0.25"/>
    <row r="1893" ht="15" x14ac:dyDescent="0.25"/>
    <row r="1894" ht="15" x14ac:dyDescent="0.25"/>
    <row r="1895" ht="15" x14ac:dyDescent="0.25"/>
    <row r="1896" ht="15" x14ac:dyDescent="0.25"/>
    <row r="1897" ht="15" x14ac:dyDescent="0.25"/>
    <row r="1898" ht="15" x14ac:dyDescent="0.25"/>
    <row r="1899" ht="15" x14ac:dyDescent="0.25"/>
    <row r="1900" ht="15" x14ac:dyDescent="0.25"/>
    <row r="1901" ht="15" x14ac:dyDescent="0.25"/>
    <row r="1902" ht="15" x14ac:dyDescent="0.25"/>
    <row r="1903" ht="15" x14ac:dyDescent="0.25"/>
    <row r="1904" ht="15" x14ac:dyDescent="0.25"/>
    <row r="1905" ht="15" x14ac:dyDescent="0.25"/>
    <row r="1906" ht="15" x14ac:dyDescent="0.25"/>
    <row r="1907" ht="15" x14ac:dyDescent="0.25"/>
    <row r="1908" ht="15" x14ac:dyDescent="0.25"/>
    <row r="1909" ht="15" x14ac:dyDescent="0.25"/>
    <row r="1910" ht="15" x14ac:dyDescent="0.25"/>
    <row r="1911" ht="15" x14ac:dyDescent="0.25"/>
    <row r="1912" ht="15" x14ac:dyDescent="0.25"/>
    <row r="1913" ht="15" x14ac:dyDescent="0.25"/>
    <row r="1914" ht="15" x14ac:dyDescent="0.25"/>
    <row r="1915" ht="15" x14ac:dyDescent="0.25"/>
    <row r="1916" ht="15" x14ac:dyDescent="0.25"/>
    <row r="1917" ht="15" x14ac:dyDescent="0.25"/>
    <row r="1918" ht="15" x14ac:dyDescent="0.25"/>
    <row r="1919" ht="15" x14ac:dyDescent="0.25"/>
    <row r="1920" ht="15" x14ac:dyDescent="0.25"/>
    <row r="1921" ht="15" x14ac:dyDescent="0.25"/>
    <row r="1922" ht="15" x14ac:dyDescent="0.25"/>
    <row r="1923" ht="15" x14ac:dyDescent="0.25"/>
    <row r="1924" ht="15" x14ac:dyDescent="0.25"/>
    <row r="1925" ht="15" x14ac:dyDescent="0.25"/>
    <row r="1926" ht="15" x14ac:dyDescent="0.25"/>
    <row r="1927" ht="15" x14ac:dyDescent="0.25"/>
    <row r="1928" ht="15" x14ac:dyDescent="0.25"/>
    <row r="1929" ht="15" x14ac:dyDescent="0.25"/>
    <row r="1930" ht="15" x14ac:dyDescent="0.25"/>
    <row r="1931" ht="15" x14ac:dyDescent="0.25"/>
    <row r="1932" ht="15" x14ac:dyDescent="0.25"/>
    <row r="1933" ht="15" x14ac:dyDescent="0.25"/>
    <row r="1934" ht="15" x14ac:dyDescent="0.25"/>
    <row r="1935" ht="15" x14ac:dyDescent="0.25"/>
    <row r="1936" ht="15" x14ac:dyDescent="0.25"/>
    <row r="1937" ht="15" x14ac:dyDescent="0.25"/>
    <row r="1938" ht="15" x14ac:dyDescent="0.25"/>
    <row r="1939" ht="15" x14ac:dyDescent="0.25"/>
    <row r="1940" ht="15" x14ac:dyDescent="0.25"/>
    <row r="1941" ht="15" x14ac:dyDescent="0.25"/>
    <row r="1942" ht="15" x14ac:dyDescent="0.25"/>
    <row r="1943" ht="15" x14ac:dyDescent="0.25"/>
    <row r="1944" ht="15" x14ac:dyDescent="0.25"/>
    <row r="1945" ht="15" x14ac:dyDescent="0.25"/>
    <row r="1946" ht="15" x14ac:dyDescent="0.25"/>
    <row r="1947" ht="15" x14ac:dyDescent="0.25"/>
    <row r="1948" ht="15" x14ac:dyDescent="0.25"/>
    <row r="1949" ht="15" x14ac:dyDescent="0.25"/>
    <row r="1950" ht="15" x14ac:dyDescent="0.25"/>
    <row r="1951" ht="15" x14ac:dyDescent="0.25"/>
    <row r="1952" ht="15" x14ac:dyDescent="0.25"/>
    <row r="1953" ht="15" x14ac:dyDescent="0.25"/>
    <row r="1954" ht="15" x14ac:dyDescent="0.25"/>
    <row r="1955" ht="15" x14ac:dyDescent="0.25"/>
    <row r="1956" ht="15" x14ac:dyDescent="0.25"/>
    <row r="1957" ht="15" x14ac:dyDescent="0.25"/>
    <row r="1958" ht="15" x14ac:dyDescent="0.25"/>
    <row r="1959" ht="15" x14ac:dyDescent="0.25"/>
    <row r="1960" ht="15" x14ac:dyDescent="0.25"/>
    <row r="1961" ht="15" x14ac:dyDescent="0.25"/>
    <row r="1962" ht="15" x14ac:dyDescent="0.25"/>
    <row r="1963" ht="15" x14ac:dyDescent="0.25"/>
    <row r="1964" ht="15" x14ac:dyDescent="0.25"/>
    <row r="1965" ht="15" x14ac:dyDescent="0.25"/>
    <row r="1966" ht="15" x14ac:dyDescent="0.25"/>
    <row r="1967" ht="15" x14ac:dyDescent="0.25"/>
    <row r="1968" ht="15" x14ac:dyDescent="0.25"/>
    <row r="1969" ht="15" x14ac:dyDescent="0.25"/>
    <row r="1970" ht="15" x14ac:dyDescent="0.25"/>
    <row r="1971" ht="15" x14ac:dyDescent="0.25"/>
    <row r="1972" ht="15" x14ac:dyDescent="0.25"/>
    <row r="1973" ht="15" x14ac:dyDescent="0.25"/>
    <row r="1974" ht="15" x14ac:dyDescent="0.25"/>
    <row r="1975" ht="15" x14ac:dyDescent="0.25"/>
    <row r="1976" ht="15" x14ac:dyDescent="0.25"/>
    <row r="1977" ht="15" x14ac:dyDescent="0.25"/>
    <row r="1978" ht="15" x14ac:dyDescent="0.25"/>
    <row r="1979" ht="15" x14ac:dyDescent="0.25"/>
    <row r="1980" ht="15" x14ac:dyDescent="0.25"/>
    <row r="1981" ht="15" x14ac:dyDescent="0.25"/>
    <row r="1982" ht="15" x14ac:dyDescent="0.25"/>
    <row r="1983" ht="15" x14ac:dyDescent="0.25"/>
    <row r="1984" ht="15" x14ac:dyDescent="0.25"/>
    <row r="1985" ht="15" x14ac:dyDescent="0.25"/>
    <row r="1986" ht="15" x14ac:dyDescent="0.25"/>
    <row r="1987" ht="15" x14ac:dyDescent="0.25"/>
    <row r="1988" ht="15" x14ac:dyDescent="0.25"/>
    <row r="1989" ht="15" x14ac:dyDescent="0.25"/>
    <row r="1990" ht="15" x14ac:dyDescent="0.25"/>
    <row r="1991" ht="15" x14ac:dyDescent="0.25"/>
    <row r="1992" ht="15" x14ac:dyDescent="0.25"/>
    <row r="1993" ht="15" x14ac:dyDescent="0.25"/>
    <row r="1994" ht="15" x14ac:dyDescent="0.25"/>
    <row r="1995" ht="15" x14ac:dyDescent="0.25"/>
    <row r="1996" ht="15" x14ac:dyDescent="0.25"/>
    <row r="1997" ht="15" x14ac:dyDescent="0.25"/>
    <row r="1998" ht="15" x14ac:dyDescent="0.25"/>
    <row r="1999" ht="15" x14ac:dyDescent="0.25"/>
    <row r="2000" ht="15" x14ac:dyDescent="0.25"/>
    <row r="2001" ht="15" x14ac:dyDescent="0.25"/>
    <row r="2002" ht="15" x14ac:dyDescent="0.25"/>
    <row r="2003" ht="15" x14ac:dyDescent="0.25"/>
    <row r="2004" ht="15" x14ac:dyDescent="0.25"/>
    <row r="2005" ht="15" x14ac:dyDescent="0.25"/>
    <row r="2006" ht="15" x14ac:dyDescent="0.25"/>
    <row r="2007" ht="15" x14ac:dyDescent="0.25"/>
    <row r="2008" ht="15" x14ac:dyDescent="0.25"/>
    <row r="2009" ht="15" x14ac:dyDescent="0.25"/>
    <row r="2010" ht="15" x14ac:dyDescent="0.25"/>
    <row r="2011" ht="15" x14ac:dyDescent="0.25"/>
    <row r="2012" ht="15" x14ac:dyDescent="0.25"/>
    <row r="2013" ht="15" x14ac:dyDescent="0.25"/>
    <row r="2014" ht="15" x14ac:dyDescent="0.25"/>
    <row r="2015" ht="15" x14ac:dyDescent="0.25"/>
    <row r="2016" ht="15" x14ac:dyDescent="0.25"/>
    <row r="2017" ht="15" x14ac:dyDescent="0.25"/>
    <row r="2018" ht="15" x14ac:dyDescent="0.25"/>
    <row r="2019" ht="15" x14ac:dyDescent="0.25"/>
    <row r="2020" ht="15" x14ac:dyDescent="0.25"/>
    <row r="2021" ht="15" x14ac:dyDescent="0.25"/>
    <row r="2022" ht="15" x14ac:dyDescent="0.25"/>
    <row r="2023" ht="15" x14ac:dyDescent="0.25"/>
    <row r="2024" ht="15" x14ac:dyDescent="0.25"/>
    <row r="2025" ht="15" x14ac:dyDescent="0.25"/>
    <row r="2026" ht="15" x14ac:dyDescent="0.25"/>
    <row r="2027" ht="15" x14ac:dyDescent="0.25"/>
    <row r="2028" ht="15" x14ac:dyDescent="0.25"/>
    <row r="2029" ht="15" x14ac:dyDescent="0.25"/>
    <row r="2030" ht="15" x14ac:dyDescent="0.25"/>
    <row r="2031" ht="15" x14ac:dyDescent="0.25"/>
    <row r="2032" ht="15" x14ac:dyDescent="0.25"/>
    <row r="2033" ht="15" x14ac:dyDescent="0.25"/>
    <row r="2034" ht="15" x14ac:dyDescent="0.25"/>
    <row r="2035" ht="15" x14ac:dyDescent="0.25"/>
    <row r="2036" ht="15" x14ac:dyDescent="0.25"/>
    <row r="2037" ht="15" x14ac:dyDescent="0.25"/>
    <row r="2038" ht="15" x14ac:dyDescent="0.25"/>
    <row r="2039" ht="15" x14ac:dyDescent="0.25"/>
    <row r="2040" ht="15" x14ac:dyDescent="0.25"/>
    <row r="2041" ht="15" x14ac:dyDescent="0.25"/>
    <row r="2042" ht="15" x14ac:dyDescent="0.25"/>
    <row r="2043" ht="15" x14ac:dyDescent="0.25"/>
    <row r="2044" ht="15" x14ac:dyDescent="0.25"/>
    <row r="2045" ht="15" x14ac:dyDescent="0.25"/>
    <row r="2046" ht="15" x14ac:dyDescent="0.25"/>
    <row r="2047" ht="15" x14ac:dyDescent="0.25"/>
    <row r="2048" ht="15" x14ac:dyDescent="0.25"/>
    <row r="2049" ht="15" x14ac:dyDescent="0.25"/>
    <row r="2050" ht="15" x14ac:dyDescent="0.25"/>
    <row r="2051" ht="15" x14ac:dyDescent="0.25"/>
    <row r="2052" ht="15" x14ac:dyDescent="0.25"/>
    <row r="2053" ht="15" x14ac:dyDescent="0.25"/>
    <row r="2054" ht="15" x14ac:dyDescent="0.25"/>
    <row r="2055" ht="15" x14ac:dyDescent="0.25"/>
    <row r="2056" ht="15" x14ac:dyDescent="0.25"/>
    <row r="2057" ht="15" x14ac:dyDescent="0.25"/>
    <row r="2058" ht="15" x14ac:dyDescent="0.25"/>
    <row r="2059" ht="15" x14ac:dyDescent="0.25"/>
    <row r="2060" ht="15" x14ac:dyDescent="0.25"/>
    <row r="2061" ht="15" x14ac:dyDescent="0.25"/>
    <row r="2062" ht="15" x14ac:dyDescent="0.25"/>
    <row r="2063" ht="15" x14ac:dyDescent="0.25"/>
    <row r="2064" ht="15" x14ac:dyDescent="0.25"/>
    <row r="2065" ht="15" x14ac:dyDescent="0.25"/>
    <row r="2066" ht="15" x14ac:dyDescent="0.25"/>
    <row r="2067" ht="15" x14ac:dyDescent="0.25"/>
    <row r="2068" ht="15" x14ac:dyDescent="0.25"/>
    <row r="2069" ht="15" x14ac:dyDescent="0.25"/>
    <row r="2070" ht="15" x14ac:dyDescent="0.25"/>
    <row r="2071" ht="15" x14ac:dyDescent="0.25"/>
    <row r="2072" ht="15" x14ac:dyDescent="0.25"/>
    <row r="2073" ht="15" x14ac:dyDescent="0.25"/>
    <row r="2074" ht="15" x14ac:dyDescent="0.25"/>
    <row r="2075" ht="15" x14ac:dyDescent="0.25"/>
    <row r="2076" ht="15" x14ac:dyDescent="0.25"/>
    <row r="2077" ht="15" x14ac:dyDescent="0.25"/>
    <row r="2078" ht="15" x14ac:dyDescent="0.25"/>
    <row r="2079" ht="15" x14ac:dyDescent="0.25"/>
    <row r="2080" ht="15" x14ac:dyDescent="0.25"/>
    <row r="2081" ht="15" x14ac:dyDescent="0.25"/>
    <row r="2082" ht="15" x14ac:dyDescent="0.25"/>
    <row r="2083" ht="15" x14ac:dyDescent="0.25"/>
    <row r="2084" ht="15" x14ac:dyDescent="0.25"/>
    <row r="2085" ht="15" x14ac:dyDescent="0.25"/>
    <row r="2086" ht="15" x14ac:dyDescent="0.25"/>
    <row r="2087" ht="15" x14ac:dyDescent="0.25"/>
    <row r="2088" ht="15" x14ac:dyDescent="0.25"/>
    <row r="2089" ht="15" x14ac:dyDescent="0.25"/>
    <row r="2090" ht="15" x14ac:dyDescent="0.25"/>
    <row r="2091" ht="15" x14ac:dyDescent="0.25"/>
    <row r="2092" ht="15" x14ac:dyDescent="0.25"/>
    <row r="2093" ht="15" x14ac:dyDescent="0.25"/>
    <row r="2094" ht="15" x14ac:dyDescent="0.25"/>
    <row r="2095" ht="15" x14ac:dyDescent="0.25"/>
    <row r="2096" ht="15" x14ac:dyDescent="0.25"/>
    <row r="2097" ht="15" x14ac:dyDescent="0.25"/>
    <row r="2098" ht="15" x14ac:dyDescent="0.25"/>
    <row r="2099" ht="15" x14ac:dyDescent="0.25"/>
    <row r="2100" ht="15" x14ac:dyDescent="0.25"/>
    <row r="2101" ht="15" x14ac:dyDescent="0.25"/>
    <row r="2102" ht="15" x14ac:dyDescent="0.25"/>
    <row r="2103" ht="15" x14ac:dyDescent="0.25"/>
    <row r="2104" ht="15" x14ac:dyDescent="0.25"/>
    <row r="2105" ht="15" x14ac:dyDescent="0.25"/>
    <row r="2106" ht="15" x14ac:dyDescent="0.25"/>
    <row r="2107" ht="15" x14ac:dyDescent="0.25"/>
    <row r="2108" ht="15" x14ac:dyDescent="0.25"/>
    <row r="2109" ht="15" x14ac:dyDescent="0.25"/>
    <row r="2110" ht="15" x14ac:dyDescent="0.25"/>
    <row r="2111" ht="15" x14ac:dyDescent="0.25"/>
    <row r="2112" ht="15" x14ac:dyDescent="0.25"/>
    <row r="2113" ht="15" x14ac:dyDescent="0.25"/>
    <row r="2114" ht="15" x14ac:dyDescent="0.25"/>
    <row r="2115" ht="15" x14ac:dyDescent="0.25"/>
    <row r="2116" ht="15" x14ac:dyDescent="0.25"/>
    <row r="2117" ht="15" x14ac:dyDescent="0.25"/>
    <row r="2118" ht="15" x14ac:dyDescent="0.25"/>
    <row r="2119" ht="15" x14ac:dyDescent="0.25"/>
    <row r="2120" ht="15" x14ac:dyDescent="0.25"/>
    <row r="2121" ht="15" x14ac:dyDescent="0.25"/>
    <row r="2122" ht="15" x14ac:dyDescent="0.25"/>
    <row r="2123" ht="15" x14ac:dyDescent="0.25"/>
    <row r="2124" ht="15" x14ac:dyDescent="0.25"/>
    <row r="2125" ht="15" x14ac:dyDescent="0.25"/>
    <row r="2126" ht="15" x14ac:dyDescent="0.25"/>
    <row r="2127" ht="15" x14ac:dyDescent="0.25"/>
    <row r="2128" ht="15" x14ac:dyDescent="0.25"/>
    <row r="2129" ht="15" x14ac:dyDescent="0.25"/>
    <row r="2130" ht="15" x14ac:dyDescent="0.25"/>
    <row r="2131" ht="15" x14ac:dyDescent="0.25"/>
    <row r="2132" ht="15" x14ac:dyDescent="0.25"/>
    <row r="2133" ht="15" x14ac:dyDescent="0.25"/>
    <row r="2134" ht="15" x14ac:dyDescent="0.25"/>
    <row r="2135" ht="15" x14ac:dyDescent="0.25"/>
    <row r="2136" ht="15" x14ac:dyDescent="0.25"/>
    <row r="2137" ht="15" x14ac:dyDescent="0.25"/>
    <row r="2138" ht="15" x14ac:dyDescent="0.25"/>
    <row r="2139" ht="15" x14ac:dyDescent="0.25"/>
    <row r="2140" ht="15" x14ac:dyDescent="0.25"/>
    <row r="2141" ht="15" x14ac:dyDescent="0.25"/>
    <row r="2142" ht="15" x14ac:dyDescent="0.25"/>
    <row r="2143" ht="15" x14ac:dyDescent="0.25"/>
    <row r="2144" ht="15" x14ac:dyDescent="0.25"/>
    <row r="2145" ht="15" x14ac:dyDescent="0.25"/>
    <row r="2146" ht="15" x14ac:dyDescent="0.25"/>
    <row r="2147" ht="15" x14ac:dyDescent="0.25"/>
    <row r="2148" ht="15" x14ac:dyDescent="0.25"/>
    <row r="2149" ht="15" x14ac:dyDescent="0.25"/>
    <row r="2150" ht="15" x14ac:dyDescent="0.25"/>
    <row r="2151" ht="15" x14ac:dyDescent="0.25"/>
    <row r="2152" ht="15" x14ac:dyDescent="0.25"/>
    <row r="2153" ht="15" x14ac:dyDescent="0.25"/>
    <row r="2154" ht="15" x14ac:dyDescent="0.25"/>
    <row r="2155" ht="15" x14ac:dyDescent="0.25"/>
    <row r="2156" ht="15" x14ac:dyDescent="0.25"/>
    <row r="2157" ht="15" x14ac:dyDescent="0.25"/>
    <row r="2158" ht="15" x14ac:dyDescent="0.25"/>
    <row r="2159" ht="15" x14ac:dyDescent="0.25"/>
    <row r="2160" ht="15" x14ac:dyDescent="0.25"/>
    <row r="2161" ht="15" x14ac:dyDescent="0.25"/>
    <row r="2162" ht="15" x14ac:dyDescent="0.25"/>
    <row r="2163" ht="15" x14ac:dyDescent="0.25"/>
    <row r="2164" ht="15" x14ac:dyDescent="0.25"/>
    <row r="2165" ht="15" x14ac:dyDescent="0.25"/>
    <row r="2166" ht="15" x14ac:dyDescent="0.25"/>
    <row r="2167" ht="15" x14ac:dyDescent="0.25"/>
    <row r="2168" ht="15" x14ac:dyDescent="0.25"/>
    <row r="2169" ht="15" x14ac:dyDescent="0.25"/>
    <row r="2170" ht="15" x14ac:dyDescent="0.25"/>
    <row r="2171" ht="15" x14ac:dyDescent="0.25"/>
    <row r="2172" ht="15" x14ac:dyDescent="0.25"/>
    <row r="2173" ht="15" x14ac:dyDescent="0.25"/>
    <row r="2174" ht="15" x14ac:dyDescent="0.25"/>
    <row r="2175" ht="15" x14ac:dyDescent="0.25"/>
    <row r="2176" ht="15" x14ac:dyDescent="0.25"/>
    <row r="2177" ht="15" x14ac:dyDescent="0.25"/>
    <row r="2178" ht="15" x14ac:dyDescent="0.25"/>
    <row r="2179" ht="15" x14ac:dyDescent="0.25"/>
    <row r="2180" ht="15" x14ac:dyDescent="0.25"/>
    <row r="2181" ht="15" x14ac:dyDescent="0.25"/>
    <row r="2182" ht="15" x14ac:dyDescent="0.25"/>
    <row r="2183" ht="15" x14ac:dyDescent="0.25"/>
    <row r="2184" ht="15" x14ac:dyDescent="0.25"/>
    <row r="2185" ht="15" x14ac:dyDescent="0.25"/>
    <row r="2186" ht="15" x14ac:dyDescent="0.25"/>
    <row r="2187" ht="15" x14ac:dyDescent="0.25"/>
    <row r="2188" ht="15" x14ac:dyDescent="0.25"/>
    <row r="2189" ht="15" x14ac:dyDescent="0.25"/>
    <row r="2190" ht="15" x14ac:dyDescent="0.25"/>
    <row r="2191" ht="15" x14ac:dyDescent="0.25"/>
    <row r="2192" ht="15" x14ac:dyDescent="0.25"/>
    <row r="2193" ht="15" x14ac:dyDescent="0.25"/>
    <row r="2194" ht="15" x14ac:dyDescent="0.25"/>
    <row r="2195" ht="15" x14ac:dyDescent="0.25"/>
    <row r="2196" ht="15" x14ac:dyDescent="0.25"/>
    <row r="2197" ht="15" x14ac:dyDescent="0.25"/>
    <row r="2198" ht="15" x14ac:dyDescent="0.25"/>
    <row r="2199" ht="15" x14ac:dyDescent="0.25"/>
    <row r="2200" ht="15" x14ac:dyDescent="0.25"/>
    <row r="2201" ht="15" x14ac:dyDescent="0.25"/>
    <row r="2202" ht="15" x14ac:dyDescent="0.25"/>
    <row r="2203" ht="15" x14ac:dyDescent="0.25"/>
    <row r="2204" ht="15" x14ac:dyDescent="0.25"/>
    <row r="2205" ht="15" x14ac:dyDescent="0.25"/>
    <row r="2206" ht="15" x14ac:dyDescent="0.25"/>
    <row r="2207" ht="15" x14ac:dyDescent="0.25"/>
    <row r="2208" ht="15" x14ac:dyDescent="0.25"/>
    <row r="2209" ht="15" x14ac:dyDescent="0.25"/>
    <row r="2210" ht="15" x14ac:dyDescent="0.25"/>
    <row r="2211" ht="15" x14ac:dyDescent="0.25"/>
    <row r="2212" ht="15" x14ac:dyDescent="0.25"/>
    <row r="2213" ht="15" x14ac:dyDescent="0.25"/>
    <row r="2214" ht="15" x14ac:dyDescent="0.25"/>
    <row r="2215" ht="15" x14ac:dyDescent="0.25"/>
    <row r="2216" ht="15" x14ac:dyDescent="0.25"/>
    <row r="2217" ht="15" x14ac:dyDescent="0.25"/>
    <row r="2218" ht="15" x14ac:dyDescent="0.25"/>
    <row r="2219" ht="15" x14ac:dyDescent="0.25"/>
    <row r="2220" ht="15" x14ac:dyDescent="0.25"/>
    <row r="2221" ht="15" x14ac:dyDescent="0.25"/>
    <row r="2222" ht="15" x14ac:dyDescent="0.25"/>
    <row r="2223" ht="15" x14ac:dyDescent="0.25"/>
    <row r="2224" ht="15" x14ac:dyDescent="0.25"/>
    <row r="2225" ht="15" x14ac:dyDescent="0.25"/>
    <row r="2226" ht="15" x14ac:dyDescent="0.25"/>
    <row r="2227" ht="15" x14ac:dyDescent="0.25"/>
    <row r="2228" ht="15" x14ac:dyDescent="0.25"/>
    <row r="2229" ht="15" x14ac:dyDescent="0.25"/>
    <row r="2230" ht="15" x14ac:dyDescent="0.25"/>
    <row r="2231" ht="15" x14ac:dyDescent="0.25"/>
    <row r="2232" ht="15" x14ac:dyDescent="0.25"/>
    <row r="2233" ht="15" x14ac:dyDescent="0.25"/>
    <row r="2234" ht="15" x14ac:dyDescent="0.25"/>
    <row r="2235" ht="15" x14ac:dyDescent="0.25"/>
    <row r="2236" ht="15" x14ac:dyDescent="0.25"/>
    <row r="2237" ht="15" x14ac:dyDescent="0.25"/>
    <row r="2238" ht="15" x14ac:dyDescent="0.25"/>
    <row r="2239" ht="15" x14ac:dyDescent="0.25"/>
    <row r="2240" ht="15" x14ac:dyDescent="0.25"/>
    <row r="2241" ht="15" x14ac:dyDescent="0.25"/>
    <row r="2242" ht="15" x14ac:dyDescent="0.25"/>
    <row r="2243" ht="15" x14ac:dyDescent="0.25"/>
    <row r="2244" ht="15" x14ac:dyDescent="0.25"/>
    <row r="2245" ht="15" x14ac:dyDescent="0.25"/>
    <row r="2246" ht="15" x14ac:dyDescent="0.25"/>
    <row r="2247" ht="15" x14ac:dyDescent="0.25"/>
    <row r="2248" ht="15" x14ac:dyDescent="0.25"/>
    <row r="2249" ht="15" x14ac:dyDescent="0.25"/>
    <row r="2250" ht="15" x14ac:dyDescent="0.25"/>
    <row r="2251" ht="15" x14ac:dyDescent="0.25"/>
    <row r="2252" ht="15" x14ac:dyDescent="0.25"/>
    <row r="2253" ht="15" x14ac:dyDescent="0.25"/>
    <row r="2254" ht="15" x14ac:dyDescent="0.25"/>
    <row r="2255" ht="15" x14ac:dyDescent="0.25"/>
    <row r="2256" ht="15" x14ac:dyDescent="0.25"/>
    <row r="2257" ht="15" x14ac:dyDescent="0.25"/>
    <row r="2258" ht="15" x14ac:dyDescent="0.25"/>
    <row r="2259" ht="15" x14ac:dyDescent="0.25"/>
    <row r="2260" ht="15" x14ac:dyDescent="0.25"/>
    <row r="2261" ht="15" x14ac:dyDescent="0.25"/>
    <row r="2262" ht="15" x14ac:dyDescent="0.25"/>
    <row r="2263" ht="15" x14ac:dyDescent="0.25"/>
    <row r="2264" ht="15" x14ac:dyDescent="0.25"/>
    <row r="2265" ht="15" x14ac:dyDescent="0.25"/>
    <row r="2266" ht="15" x14ac:dyDescent="0.25"/>
    <row r="2267" ht="15" x14ac:dyDescent="0.25"/>
    <row r="2268" ht="15" x14ac:dyDescent="0.25"/>
    <row r="2269" ht="15" x14ac:dyDescent="0.25"/>
    <row r="2270" ht="15" x14ac:dyDescent="0.25"/>
    <row r="2271" ht="15" x14ac:dyDescent="0.25"/>
    <row r="2272" ht="15" x14ac:dyDescent="0.25"/>
    <row r="2273" ht="15" x14ac:dyDescent="0.25"/>
    <row r="2274" ht="15" x14ac:dyDescent="0.25"/>
    <row r="2275" ht="15" x14ac:dyDescent="0.25"/>
    <row r="2276" ht="15" x14ac:dyDescent="0.25"/>
    <row r="2277" ht="15" x14ac:dyDescent="0.25"/>
    <row r="2278" ht="15" x14ac:dyDescent="0.25"/>
    <row r="2279" ht="15" x14ac:dyDescent="0.25"/>
    <row r="2280" ht="15" x14ac:dyDescent="0.25"/>
    <row r="2281" ht="15" x14ac:dyDescent="0.25"/>
    <row r="2282" ht="15" x14ac:dyDescent="0.25"/>
    <row r="2283" ht="15" x14ac:dyDescent="0.25"/>
    <row r="2284" ht="15" x14ac:dyDescent="0.25"/>
    <row r="2285" ht="15" x14ac:dyDescent="0.25"/>
    <row r="2286" ht="15" x14ac:dyDescent="0.25"/>
    <row r="2287" ht="15" x14ac:dyDescent="0.25"/>
    <row r="2288" ht="15" x14ac:dyDescent="0.25"/>
    <row r="2289" ht="15" x14ac:dyDescent="0.25"/>
    <row r="2290" ht="15" x14ac:dyDescent="0.25"/>
    <row r="2291" ht="15" x14ac:dyDescent="0.25"/>
    <row r="2292" ht="15" x14ac:dyDescent="0.25"/>
    <row r="2293" ht="15" x14ac:dyDescent="0.25"/>
    <row r="2294" ht="15" x14ac:dyDescent="0.25"/>
    <row r="2295" ht="15" x14ac:dyDescent="0.25"/>
    <row r="2296" ht="15" x14ac:dyDescent="0.25"/>
    <row r="2297" ht="15" x14ac:dyDescent="0.25"/>
    <row r="2298" ht="15" x14ac:dyDescent="0.25"/>
    <row r="2299" ht="15" x14ac:dyDescent="0.25"/>
    <row r="2300" ht="15" x14ac:dyDescent="0.25"/>
    <row r="2301" ht="15" x14ac:dyDescent="0.25"/>
    <row r="2302" ht="15" x14ac:dyDescent="0.25"/>
    <row r="2303" ht="15" x14ac:dyDescent="0.25"/>
    <row r="2304" ht="15" x14ac:dyDescent="0.25"/>
    <row r="2305" ht="15" x14ac:dyDescent="0.25"/>
    <row r="2306" ht="15" x14ac:dyDescent="0.25"/>
    <row r="2307" ht="15" x14ac:dyDescent="0.25"/>
    <row r="2308" ht="15" x14ac:dyDescent="0.25"/>
    <row r="2309" ht="15" x14ac:dyDescent="0.25"/>
    <row r="2310" ht="15" x14ac:dyDescent="0.25"/>
    <row r="2311" ht="15" x14ac:dyDescent="0.25"/>
    <row r="2312" ht="15" x14ac:dyDescent="0.25"/>
    <row r="2313" ht="15" x14ac:dyDescent="0.25"/>
    <row r="2314" ht="15" x14ac:dyDescent="0.25"/>
    <row r="2315" ht="15" x14ac:dyDescent="0.25"/>
    <row r="2316" ht="15" x14ac:dyDescent="0.25"/>
    <row r="2317" ht="15" x14ac:dyDescent="0.25"/>
    <row r="2318" ht="15" x14ac:dyDescent="0.25"/>
    <row r="2319" ht="15" x14ac:dyDescent="0.25"/>
    <row r="2320" ht="15" x14ac:dyDescent="0.25"/>
    <row r="2321" ht="15" x14ac:dyDescent="0.25"/>
    <row r="2322" ht="15" x14ac:dyDescent="0.25"/>
    <row r="2323" ht="15" x14ac:dyDescent="0.25"/>
    <row r="2324" ht="15" x14ac:dyDescent="0.25"/>
    <row r="2325" ht="15" x14ac:dyDescent="0.25"/>
    <row r="2326" ht="15" x14ac:dyDescent="0.25"/>
    <row r="2327" ht="15" x14ac:dyDescent="0.25"/>
    <row r="2328" ht="15" x14ac:dyDescent="0.25"/>
    <row r="2329" ht="15" x14ac:dyDescent="0.25"/>
    <row r="2330" ht="15" x14ac:dyDescent="0.25"/>
    <row r="2331" ht="15" x14ac:dyDescent="0.25"/>
    <row r="2332" ht="15" x14ac:dyDescent="0.25"/>
    <row r="2333" ht="15" x14ac:dyDescent="0.25"/>
    <row r="2334" ht="15" x14ac:dyDescent="0.25"/>
    <row r="2335" ht="15" x14ac:dyDescent="0.25"/>
    <row r="2336" ht="15" x14ac:dyDescent="0.25"/>
    <row r="2337" ht="15" x14ac:dyDescent="0.25"/>
    <row r="2338" ht="15" x14ac:dyDescent="0.25"/>
    <row r="2339" ht="15" x14ac:dyDescent="0.25"/>
    <row r="2340" ht="15" x14ac:dyDescent="0.25"/>
    <row r="2341" ht="15" x14ac:dyDescent="0.25"/>
    <row r="2342" ht="15" x14ac:dyDescent="0.25"/>
    <row r="2343" ht="15" x14ac:dyDescent="0.25"/>
    <row r="2344" ht="15" x14ac:dyDescent="0.25"/>
    <row r="2345" ht="15" x14ac:dyDescent="0.25"/>
    <row r="2346" ht="15" x14ac:dyDescent="0.25"/>
    <row r="2347" ht="15" x14ac:dyDescent="0.25"/>
    <row r="2348" ht="15" x14ac:dyDescent="0.25"/>
    <row r="2349" ht="15" x14ac:dyDescent="0.25"/>
    <row r="2350" ht="15" x14ac:dyDescent="0.25"/>
    <row r="2351" ht="15" x14ac:dyDescent="0.25"/>
    <row r="2352" ht="15" x14ac:dyDescent="0.25"/>
    <row r="2353" ht="15" x14ac:dyDescent="0.25"/>
    <row r="2354" ht="15" x14ac:dyDescent="0.25"/>
    <row r="2355" ht="15" x14ac:dyDescent="0.25"/>
    <row r="2356" ht="15" x14ac:dyDescent="0.25"/>
    <row r="2357" ht="15" x14ac:dyDescent="0.25"/>
    <row r="2358" ht="15" x14ac:dyDescent="0.25"/>
    <row r="2359" ht="15" x14ac:dyDescent="0.25"/>
    <row r="2360" ht="15" x14ac:dyDescent="0.25"/>
    <row r="2361" ht="15" x14ac:dyDescent="0.25"/>
    <row r="2362" ht="15" x14ac:dyDescent="0.25"/>
    <row r="2363" ht="15" x14ac:dyDescent="0.25"/>
    <row r="2364" ht="15" x14ac:dyDescent="0.25"/>
    <row r="2365" ht="15" x14ac:dyDescent="0.25"/>
    <row r="2366" ht="15" x14ac:dyDescent="0.25"/>
    <row r="2367" ht="15" x14ac:dyDescent="0.25"/>
    <row r="2368" ht="15" x14ac:dyDescent="0.25"/>
    <row r="2369" ht="15" x14ac:dyDescent="0.25"/>
    <row r="2370" ht="15" x14ac:dyDescent="0.25"/>
    <row r="2371" ht="15" x14ac:dyDescent="0.25"/>
    <row r="2372" ht="15" x14ac:dyDescent="0.25"/>
    <row r="2373" ht="15" x14ac:dyDescent="0.25"/>
    <row r="2374" ht="15" x14ac:dyDescent="0.25"/>
    <row r="2375" ht="15" x14ac:dyDescent="0.25"/>
    <row r="2376" ht="15" x14ac:dyDescent="0.25"/>
    <row r="2377" ht="15" x14ac:dyDescent="0.25"/>
    <row r="2378" ht="15" x14ac:dyDescent="0.25"/>
    <row r="2379" ht="15" x14ac:dyDescent="0.25"/>
    <row r="2380" ht="15" x14ac:dyDescent="0.25"/>
    <row r="2381" ht="15" x14ac:dyDescent="0.25"/>
    <row r="2382" ht="15" x14ac:dyDescent="0.25"/>
    <row r="2383" ht="15" x14ac:dyDescent="0.25"/>
    <row r="2384" ht="15" x14ac:dyDescent="0.25"/>
    <row r="2385" ht="15" x14ac:dyDescent="0.25"/>
    <row r="2386" ht="15" x14ac:dyDescent="0.25"/>
    <row r="2387" ht="15" x14ac:dyDescent="0.25"/>
    <row r="2388" ht="15" x14ac:dyDescent="0.25"/>
    <row r="2389" ht="15" x14ac:dyDescent="0.25"/>
    <row r="2390" ht="15" x14ac:dyDescent="0.25"/>
    <row r="2391" ht="15" x14ac:dyDescent="0.25"/>
    <row r="2392" ht="15" x14ac:dyDescent="0.25"/>
    <row r="2393" ht="15" x14ac:dyDescent="0.25"/>
    <row r="2394" ht="15" x14ac:dyDescent="0.25"/>
    <row r="2395" ht="15" x14ac:dyDescent="0.25"/>
    <row r="2396" ht="15" x14ac:dyDescent="0.25"/>
    <row r="2397" ht="15" x14ac:dyDescent="0.25"/>
    <row r="2398" ht="15" x14ac:dyDescent="0.25"/>
    <row r="2399" ht="15" x14ac:dyDescent="0.25"/>
    <row r="2400" ht="15" x14ac:dyDescent="0.25"/>
    <row r="2401" ht="15" x14ac:dyDescent="0.25"/>
    <row r="2402" ht="15" x14ac:dyDescent="0.25"/>
    <row r="2403" ht="15" x14ac:dyDescent="0.25"/>
    <row r="2404" ht="15" x14ac:dyDescent="0.25"/>
    <row r="2405" ht="15" x14ac:dyDescent="0.25"/>
    <row r="2406" ht="15" x14ac:dyDescent="0.25"/>
    <row r="2407" ht="15" x14ac:dyDescent="0.25"/>
    <row r="2408" ht="15" x14ac:dyDescent="0.25"/>
    <row r="2409" ht="15" x14ac:dyDescent="0.25"/>
    <row r="2410" ht="15" x14ac:dyDescent="0.25"/>
    <row r="2411" ht="15" x14ac:dyDescent="0.25"/>
    <row r="2412" ht="15" x14ac:dyDescent="0.25"/>
    <row r="2413" ht="15" x14ac:dyDescent="0.25"/>
    <row r="2414" ht="15" x14ac:dyDescent="0.25"/>
    <row r="2415" ht="15" x14ac:dyDescent="0.25"/>
    <row r="2416" ht="15" x14ac:dyDescent="0.25"/>
    <row r="2417" ht="15" x14ac:dyDescent="0.25"/>
    <row r="2418" ht="15" x14ac:dyDescent="0.25"/>
    <row r="2419" ht="15" x14ac:dyDescent="0.25"/>
    <row r="2420" ht="15" x14ac:dyDescent="0.25"/>
    <row r="2421" ht="15" x14ac:dyDescent="0.25"/>
    <row r="2422" ht="15" x14ac:dyDescent="0.25"/>
    <row r="2423" ht="15" x14ac:dyDescent="0.25"/>
    <row r="2424" ht="15" x14ac:dyDescent="0.25"/>
    <row r="2425" ht="15" x14ac:dyDescent="0.25"/>
    <row r="2426" ht="15" x14ac:dyDescent="0.25"/>
    <row r="2427" ht="15" x14ac:dyDescent="0.25"/>
    <row r="2428" ht="15" x14ac:dyDescent="0.25"/>
    <row r="2429" ht="15" x14ac:dyDescent="0.25"/>
    <row r="2430" ht="15" x14ac:dyDescent="0.25"/>
    <row r="2431" ht="15" x14ac:dyDescent="0.25"/>
    <row r="2432" ht="15" x14ac:dyDescent="0.25"/>
    <row r="2433" ht="15" x14ac:dyDescent="0.25"/>
    <row r="2434" ht="15" x14ac:dyDescent="0.25"/>
    <row r="2435" ht="15" x14ac:dyDescent="0.25"/>
    <row r="2436" ht="15" x14ac:dyDescent="0.25"/>
    <row r="2437" ht="15" x14ac:dyDescent="0.25"/>
    <row r="2438" ht="15" x14ac:dyDescent="0.25"/>
    <row r="2439" ht="15" x14ac:dyDescent="0.25"/>
    <row r="2440" ht="15" x14ac:dyDescent="0.25"/>
    <row r="2441" ht="15" x14ac:dyDescent="0.25"/>
    <row r="2442" ht="15" x14ac:dyDescent="0.25"/>
    <row r="2443" ht="15" x14ac:dyDescent="0.25"/>
    <row r="2444" ht="15" x14ac:dyDescent="0.25"/>
    <row r="2445" ht="15" x14ac:dyDescent="0.25"/>
    <row r="2446" ht="15" x14ac:dyDescent="0.25"/>
    <row r="2447" ht="15" x14ac:dyDescent="0.25"/>
    <row r="2448" ht="15" x14ac:dyDescent="0.25"/>
    <row r="2449" ht="15" x14ac:dyDescent="0.25"/>
    <row r="2450" ht="15" x14ac:dyDescent="0.25"/>
    <row r="2451" ht="15" x14ac:dyDescent="0.25"/>
    <row r="2452" ht="15" x14ac:dyDescent="0.25"/>
    <row r="2453" ht="15" x14ac:dyDescent="0.25"/>
    <row r="2454" ht="15" x14ac:dyDescent="0.25"/>
    <row r="2455" ht="15" x14ac:dyDescent="0.25"/>
    <row r="2456" ht="15" x14ac:dyDescent="0.25"/>
    <row r="2457" ht="15" x14ac:dyDescent="0.25"/>
    <row r="2458" ht="15" x14ac:dyDescent="0.25"/>
    <row r="2459" ht="15" x14ac:dyDescent="0.25"/>
    <row r="2460" ht="15" x14ac:dyDescent="0.25"/>
    <row r="2461" ht="15" x14ac:dyDescent="0.25"/>
    <row r="2462" ht="15" x14ac:dyDescent="0.25"/>
    <row r="2463" ht="15" x14ac:dyDescent="0.25"/>
    <row r="2464" ht="15" x14ac:dyDescent="0.25"/>
    <row r="2465" ht="15" x14ac:dyDescent="0.25"/>
    <row r="2466" ht="15" x14ac:dyDescent="0.25"/>
    <row r="2467" ht="15" x14ac:dyDescent="0.25"/>
    <row r="2468" ht="15" x14ac:dyDescent="0.25"/>
    <row r="2469" ht="15" x14ac:dyDescent="0.25"/>
    <row r="2470" ht="15" x14ac:dyDescent="0.25"/>
    <row r="2471" ht="15" x14ac:dyDescent="0.25"/>
    <row r="2472" ht="15" x14ac:dyDescent="0.25"/>
    <row r="2473" ht="15" x14ac:dyDescent="0.25"/>
    <row r="2474" ht="15" x14ac:dyDescent="0.25"/>
    <row r="2475" ht="15" x14ac:dyDescent="0.25"/>
    <row r="2476" ht="15" x14ac:dyDescent="0.25"/>
    <row r="2477" ht="15" x14ac:dyDescent="0.25"/>
    <row r="2478" ht="15" x14ac:dyDescent="0.25"/>
    <row r="2479" ht="15" x14ac:dyDescent="0.25"/>
    <row r="2480" ht="15" x14ac:dyDescent="0.25"/>
    <row r="2481" ht="15" x14ac:dyDescent="0.25"/>
    <row r="2482" ht="15" x14ac:dyDescent="0.25"/>
    <row r="2483" ht="15" x14ac:dyDescent="0.25"/>
    <row r="2484" ht="15" x14ac:dyDescent="0.25"/>
    <row r="2485" ht="15" x14ac:dyDescent="0.25"/>
    <row r="2486" ht="15" x14ac:dyDescent="0.25"/>
    <row r="2487" ht="15" x14ac:dyDescent="0.25"/>
    <row r="2488" ht="15" x14ac:dyDescent="0.25"/>
    <row r="2489" ht="15" x14ac:dyDescent="0.25"/>
    <row r="2490" ht="15" x14ac:dyDescent="0.25"/>
    <row r="2491" ht="15" x14ac:dyDescent="0.25"/>
    <row r="2492" ht="15" x14ac:dyDescent="0.25"/>
    <row r="2493" ht="15" x14ac:dyDescent="0.25"/>
    <row r="2494" ht="15" x14ac:dyDescent="0.25"/>
    <row r="2495" ht="15" x14ac:dyDescent="0.25"/>
    <row r="2496" ht="15" x14ac:dyDescent="0.25"/>
    <row r="2497" ht="15" x14ac:dyDescent="0.25"/>
    <row r="2498" ht="15" x14ac:dyDescent="0.25"/>
    <row r="2499" ht="15" x14ac:dyDescent="0.25"/>
    <row r="2500" ht="15" x14ac:dyDescent="0.25"/>
    <row r="2501" ht="15" x14ac:dyDescent="0.25"/>
    <row r="2502" ht="15" x14ac:dyDescent="0.25"/>
    <row r="2503" ht="15" x14ac:dyDescent="0.25"/>
    <row r="2504" ht="15" x14ac:dyDescent="0.25"/>
    <row r="2505" ht="15" x14ac:dyDescent="0.25"/>
    <row r="2506" ht="15" x14ac:dyDescent="0.25"/>
    <row r="2507" ht="15" x14ac:dyDescent="0.25"/>
    <row r="2508" ht="15" x14ac:dyDescent="0.25"/>
    <row r="2509" ht="15" x14ac:dyDescent="0.25"/>
    <row r="2510" ht="15" x14ac:dyDescent="0.25"/>
    <row r="2511" ht="15" x14ac:dyDescent="0.25"/>
    <row r="2512" ht="15" x14ac:dyDescent="0.25"/>
    <row r="2513" ht="15" x14ac:dyDescent="0.25"/>
    <row r="2514" ht="15" x14ac:dyDescent="0.25"/>
    <row r="2515" ht="15" x14ac:dyDescent="0.25"/>
    <row r="2516" ht="15" x14ac:dyDescent="0.25"/>
    <row r="2517" ht="15" x14ac:dyDescent="0.25"/>
    <row r="2518" ht="15" x14ac:dyDescent="0.25"/>
    <row r="2519" ht="15" x14ac:dyDescent="0.25"/>
    <row r="2520" ht="15" x14ac:dyDescent="0.25"/>
    <row r="2521" ht="15" x14ac:dyDescent="0.25"/>
    <row r="2522" ht="15" x14ac:dyDescent="0.25"/>
    <row r="2523" ht="15" x14ac:dyDescent="0.25"/>
    <row r="2524" ht="15" x14ac:dyDescent="0.25"/>
    <row r="2525" ht="15" x14ac:dyDescent="0.25"/>
    <row r="2526" ht="15" x14ac:dyDescent="0.25"/>
    <row r="2527" ht="15" x14ac:dyDescent="0.25"/>
    <row r="2528" ht="15" x14ac:dyDescent="0.25"/>
    <row r="2529" ht="15" x14ac:dyDescent="0.25"/>
    <row r="2530" ht="15" x14ac:dyDescent="0.25"/>
    <row r="2531" ht="15" x14ac:dyDescent="0.25"/>
    <row r="2532" ht="15" x14ac:dyDescent="0.25"/>
    <row r="2533" ht="15" x14ac:dyDescent="0.25"/>
    <row r="2534" ht="15" x14ac:dyDescent="0.25"/>
    <row r="2535" ht="15" x14ac:dyDescent="0.25"/>
    <row r="2536" ht="15" x14ac:dyDescent="0.25"/>
    <row r="2537" ht="15" x14ac:dyDescent="0.25"/>
    <row r="2538" ht="15" x14ac:dyDescent="0.25"/>
    <row r="2539" ht="15" x14ac:dyDescent="0.25"/>
    <row r="2540" ht="15" x14ac:dyDescent="0.25"/>
    <row r="2541" ht="15" x14ac:dyDescent="0.25"/>
    <row r="2542" ht="15" x14ac:dyDescent="0.25"/>
    <row r="2543" ht="15" x14ac:dyDescent="0.25"/>
    <row r="2544" ht="15" x14ac:dyDescent="0.25"/>
    <row r="2545" ht="15" x14ac:dyDescent="0.25"/>
    <row r="2546" ht="15" x14ac:dyDescent="0.25"/>
    <row r="2547" ht="15" x14ac:dyDescent="0.25"/>
    <row r="2548" ht="15" x14ac:dyDescent="0.25"/>
    <row r="2549" ht="15" x14ac:dyDescent="0.25"/>
    <row r="2550" ht="15" x14ac:dyDescent="0.25"/>
    <row r="2551" ht="15" x14ac:dyDescent="0.25"/>
    <row r="2552" ht="15" x14ac:dyDescent="0.25"/>
    <row r="2553" ht="15" x14ac:dyDescent="0.25"/>
    <row r="2554" ht="15" x14ac:dyDescent="0.25"/>
    <row r="2555" ht="15" x14ac:dyDescent="0.25"/>
    <row r="2556" ht="15" x14ac:dyDescent="0.25"/>
    <row r="2557" ht="15" x14ac:dyDescent="0.25"/>
    <row r="2558" ht="15" x14ac:dyDescent="0.25"/>
    <row r="2559" ht="15" x14ac:dyDescent="0.25"/>
    <row r="2560" ht="15" x14ac:dyDescent="0.25"/>
    <row r="2561" ht="15" x14ac:dyDescent="0.25"/>
    <row r="2562" ht="15" x14ac:dyDescent="0.25"/>
    <row r="2563" ht="15" x14ac:dyDescent="0.25"/>
    <row r="2564" ht="15" x14ac:dyDescent="0.25"/>
    <row r="2565" ht="15" x14ac:dyDescent="0.25"/>
    <row r="2566" ht="15" x14ac:dyDescent="0.25"/>
    <row r="2567" ht="15" x14ac:dyDescent="0.25"/>
    <row r="2568" ht="15" x14ac:dyDescent="0.25"/>
    <row r="2569" ht="15" x14ac:dyDescent="0.25"/>
    <row r="2570" ht="15" x14ac:dyDescent="0.25"/>
    <row r="2571" ht="15" x14ac:dyDescent="0.25"/>
    <row r="2572" ht="15" x14ac:dyDescent="0.25"/>
    <row r="2573" ht="15" x14ac:dyDescent="0.25"/>
    <row r="2574" ht="15" x14ac:dyDescent="0.25"/>
    <row r="2575" ht="15" x14ac:dyDescent="0.25"/>
    <row r="2576" ht="15" x14ac:dyDescent="0.25"/>
    <row r="2577" ht="15" x14ac:dyDescent="0.25"/>
    <row r="2578" ht="15" x14ac:dyDescent="0.25"/>
    <row r="2579" ht="15" x14ac:dyDescent="0.25"/>
    <row r="2580" ht="15" x14ac:dyDescent="0.25"/>
    <row r="2581" ht="15" x14ac:dyDescent="0.25"/>
    <row r="2582" ht="15" x14ac:dyDescent="0.25"/>
    <row r="2583" ht="15" x14ac:dyDescent="0.25"/>
    <row r="2584" ht="15" x14ac:dyDescent="0.25"/>
    <row r="2585" ht="15" x14ac:dyDescent="0.25"/>
    <row r="2586" ht="15" x14ac:dyDescent="0.25"/>
    <row r="2587" ht="15" x14ac:dyDescent="0.25"/>
    <row r="2588" ht="15" x14ac:dyDescent="0.25"/>
    <row r="2589" ht="15" x14ac:dyDescent="0.25"/>
    <row r="2590" ht="15" x14ac:dyDescent="0.25"/>
    <row r="2591" ht="15" x14ac:dyDescent="0.25"/>
    <row r="2592" ht="15" x14ac:dyDescent="0.25"/>
    <row r="2593" ht="15" x14ac:dyDescent="0.25"/>
    <row r="2594" ht="15" x14ac:dyDescent="0.25"/>
    <row r="2595" ht="15" x14ac:dyDescent="0.25"/>
    <row r="2596" ht="15" x14ac:dyDescent="0.25"/>
    <row r="2597" ht="15" x14ac:dyDescent="0.25"/>
    <row r="2598" ht="15" x14ac:dyDescent="0.25"/>
    <row r="2599" ht="15" x14ac:dyDescent="0.25"/>
    <row r="2600" ht="15" x14ac:dyDescent="0.25"/>
    <row r="2601" ht="15" x14ac:dyDescent="0.25"/>
    <row r="2602" ht="15" x14ac:dyDescent="0.25"/>
    <row r="2603" ht="15" x14ac:dyDescent="0.25"/>
    <row r="2604" ht="15" x14ac:dyDescent="0.25"/>
    <row r="2605" ht="15" x14ac:dyDescent="0.25"/>
    <row r="2606" ht="15" x14ac:dyDescent="0.25"/>
    <row r="2607" ht="15" x14ac:dyDescent="0.25"/>
    <row r="2608" ht="15" x14ac:dyDescent="0.25"/>
    <row r="2609" ht="15" x14ac:dyDescent="0.25"/>
    <row r="2610" ht="15" x14ac:dyDescent="0.25"/>
    <row r="2611" ht="15" x14ac:dyDescent="0.25"/>
    <row r="2612" ht="15" x14ac:dyDescent="0.25"/>
    <row r="2613" ht="15" x14ac:dyDescent="0.25"/>
    <row r="2614" ht="15" x14ac:dyDescent="0.25"/>
    <row r="2615" ht="15" x14ac:dyDescent="0.25"/>
    <row r="2616" ht="15" x14ac:dyDescent="0.25"/>
    <row r="2617" ht="15" x14ac:dyDescent="0.25"/>
    <row r="2618" ht="15" x14ac:dyDescent="0.25"/>
    <row r="2619" ht="15" x14ac:dyDescent="0.25"/>
    <row r="2620" ht="15" x14ac:dyDescent="0.25"/>
    <row r="2621" ht="15" x14ac:dyDescent="0.25"/>
    <row r="2622" ht="15" x14ac:dyDescent="0.25"/>
    <row r="2623" ht="15" x14ac:dyDescent="0.25"/>
    <row r="2624" ht="15" x14ac:dyDescent="0.25"/>
    <row r="2625" ht="15" x14ac:dyDescent="0.25"/>
    <row r="2626" ht="15" x14ac:dyDescent="0.25"/>
    <row r="2627" ht="15" x14ac:dyDescent="0.25"/>
    <row r="2628" ht="15" x14ac:dyDescent="0.25"/>
    <row r="2629" ht="15" x14ac:dyDescent="0.25"/>
    <row r="2630" ht="15" x14ac:dyDescent="0.25"/>
    <row r="2631" ht="15" x14ac:dyDescent="0.25"/>
    <row r="2632" ht="15" x14ac:dyDescent="0.25"/>
    <row r="2633" ht="15" x14ac:dyDescent="0.25"/>
    <row r="2634" ht="15" x14ac:dyDescent="0.25"/>
    <row r="2635" ht="15" x14ac:dyDescent="0.25"/>
    <row r="2636" ht="15" x14ac:dyDescent="0.25"/>
    <row r="2637" ht="15" x14ac:dyDescent="0.25"/>
    <row r="2638" ht="15" x14ac:dyDescent="0.25"/>
    <row r="2639" ht="15" x14ac:dyDescent="0.25"/>
    <row r="2640" ht="15" x14ac:dyDescent="0.25"/>
    <row r="2641" ht="15" x14ac:dyDescent="0.25"/>
    <row r="2642" ht="15" x14ac:dyDescent="0.25"/>
    <row r="2643" ht="15" x14ac:dyDescent="0.25"/>
    <row r="2644" ht="15" x14ac:dyDescent="0.25"/>
    <row r="2645" ht="15" x14ac:dyDescent="0.25"/>
    <row r="2646" ht="15" x14ac:dyDescent="0.25"/>
    <row r="2647" ht="15" x14ac:dyDescent="0.25"/>
    <row r="2648" ht="15" x14ac:dyDescent="0.25"/>
    <row r="2649" ht="15" x14ac:dyDescent="0.25"/>
    <row r="2650" ht="15" x14ac:dyDescent="0.25"/>
    <row r="2651" ht="15" x14ac:dyDescent="0.25"/>
    <row r="2652" ht="15" x14ac:dyDescent="0.25"/>
    <row r="2653" ht="15" x14ac:dyDescent="0.25"/>
    <row r="2654" ht="15" x14ac:dyDescent="0.25"/>
    <row r="2655" ht="15" x14ac:dyDescent="0.25"/>
    <row r="2656" ht="15" x14ac:dyDescent="0.25"/>
    <row r="2657" ht="15" x14ac:dyDescent="0.25"/>
    <row r="2658" ht="15" x14ac:dyDescent="0.25"/>
    <row r="2659" ht="15" x14ac:dyDescent="0.25"/>
    <row r="2660" ht="15" x14ac:dyDescent="0.25"/>
    <row r="2661" ht="15" x14ac:dyDescent="0.25"/>
    <row r="2662" ht="15" x14ac:dyDescent="0.25"/>
    <row r="2663" ht="15" x14ac:dyDescent="0.25"/>
    <row r="2664" ht="15" x14ac:dyDescent="0.25"/>
    <row r="2665" ht="15" x14ac:dyDescent="0.25"/>
    <row r="2666" ht="15" x14ac:dyDescent="0.25"/>
    <row r="2667" ht="15" x14ac:dyDescent="0.25"/>
    <row r="2668" ht="15" x14ac:dyDescent="0.25"/>
    <row r="2669" ht="15" x14ac:dyDescent="0.25"/>
    <row r="2670" ht="15" x14ac:dyDescent="0.25"/>
    <row r="2671" ht="15" x14ac:dyDescent="0.25"/>
    <row r="2672" ht="15" x14ac:dyDescent="0.25"/>
    <row r="2673" ht="15" x14ac:dyDescent="0.25"/>
    <row r="2674" ht="15" x14ac:dyDescent="0.25"/>
    <row r="2675" ht="15" x14ac:dyDescent="0.25"/>
    <row r="2676" ht="15" x14ac:dyDescent="0.25"/>
    <row r="2677" ht="15" x14ac:dyDescent="0.25"/>
    <row r="2678" ht="15" x14ac:dyDescent="0.25"/>
    <row r="2679" ht="15" x14ac:dyDescent="0.25"/>
    <row r="2680" ht="15" x14ac:dyDescent="0.25"/>
    <row r="2681" ht="15" x14ac:dyDescent="0.25"/>
    <row r="2682" ht="15" x14ac:dyDescent="0.25"/>
    <row r="2683" ht="15" x14ac:dyDescent="0.25"/>
    <row r="2684" ht="15" x14ac:dyDescent="0.25"/>
    <row r="2685" ht="15" x14ac:dyDescent="0.25"/>
    <row r="2686" ht="15" x14ac:dyDescent="0.25"/>
    <row r="2687" ht="15" x14ac:dyDescent="0.25"/>
    <row r="2688" ht="15" x14ac:dyDescent="0.25"/>
    <row r="2689" ht="15" x14ac:dyDescent="0.25"/>
    <row r="2690" ht="15" x14ac:dyDescent="0.25"/>
    <row r="2691" ht="15" x14ac:dyDescent="0.25"/>
    <row r="2692" ht="15" x14ac:dyDescent="0.25"/>
    <row r="2693" ht="15" x14ac:dyDescent="0.25"/>
    <row r="2694" ht="15" x14ac:dyDescent="0.25"/>
    <row r="2695" ht="15" x14ac:dyDescent="0.25"/>
    <row r="2696" ht="15" x14ac:dyDescent="0.25"/>
    <row r="2697" ht="15" x14ac:dyDescent="0.25"/>
    <row r="2698" ht="15" x14ac:dyDescent="0.25"/>
    <row r="2699" ht="15" x14ac:dyDescent="0.25"/>
    <row r="2700" ht="15" x14ac:dyDescent="0.25"/>
    <row r="2701" ht="15" x14ac:dyDescent="0.25"/>
    <row r="2702" ht="15" x14ac:dyDescent="0.25"/>
    <row r="2703" ht="15" x14ac:dyDescent="0.25"/>
    <row r="2704" ht="15" x14ac:dyDescent="0.25"/>
    <row r="2705" ht="15" x14ac:dyDescent="0.25"/>
    <row r="2706" ht="15" x14ac:dyDescent="0.25"/>
    <row r="2707" ht="15" x14ac:dyDescent="0.25"/>
    <row r="2708" ht="15" x14ac:dyDescent="0.25"/>
    <row r="2709" ht="15" x14ac:dyDescent="0.25"/>
    <row r="2710" ht="15" x14ac:dyDescent="0.25"/>
    <row r="2711" ht="15" x14ac:dyDescent="0.25"/>
    <row r="2712" ht="15" x14ac:dyDescent="0.25"/>
    <row r="2713" ht="15" x14ac:dyDescent="0.25"/>
    <row r="2714" ht="15" x14ac:dyDescent="0.25"/>
    <row r="2715" ht="15" x14ac:dyDescent="0.25"/>
    <row r="2716" ht="15" x14ac:dyDescent="0.25"/>
    <row r="2717" ht="15" x14ac:dyDescent="0.25"/>
    <row r="2718" ht="15" x14ac:dyDescent="0.25"/>
    <row r="2719" ht="15" x14ac:dyDescent="0.25"/>
    <row r="2720" ht="15" x14ac:dyDescent="0.25"/>
    <row r="2721" ht="15" x14ac:dyDescent="0.25"/>
    <row r="2722" ht="15" x14ac:dyDescent="0.25"/>
    <row r="2723" ht="15" x14ac:dyDescent="0.25"/>
    <row r="2724" ht="15" x14ac:dyDescent="0.25"/>
    <row r="2725" ht="15" x14ac:dyDescent="0.25"/>
    <row r="2726" ht="15" x14ac:dyDescent="0.25"/>
    <row r="2727" ht="15" x14ac:dyDescent="0.25"/>
    <row r="2728" ht="15" x14ac:dyDescent="0.25"/>
    <row r="2729" ht="15" x14ac:dyDescent="0.25"/>
    <row r="2730" ht="15" x14ac:dyDescent="0.25"/>
    <row r="2731" ht="15" x14ac:dyDescent="0.25"/>
    <row r="2732" ht="15" x14ac:dyDescent="0.25"/>
    <row r="2733" ht="15" x14ac:dyDescent="0.25"/>
    <row r="2734" ht="15" x14ac:dyDescent="0.25"/>
    <row r="2735" ht="15" x14ac:dyDescent="0.25"/>
    <row r="2736" ht="15" x14ac:dyDescent="0.25"/>
    <row r="2737" ht="15" x14ac:dyDescent="0.25"/>
    <row r="2738" ht="15" x14ac:dyDescent="0.25"/>
    <row r="2739" ht="15" x14ac:dyDescent="0.25"/>
    <row r="2740" ht="15" x14ac:dyDescent="0.25"/>
    <row r="2741" ht="15" x14ac:dyDescent="0.25"/>
    <row r="2742" ht="15" x14ac:dyDescent="0.25"/>
    <row r="2743" ht="15" x14ac:dyDescent="0.25"/>
    <row r="2744" ht="15" x14ac:dyDescent="0.25"/>
    <row r="2745" ht="15" x14ac:dyDescent="0.25"/>
    <row r="2746" ht="15" x14ac:dyDescent="0.25"/>
    <row r="2747" ht="15" x14ac:dyDescent="0.25"/>
    <row r="2748" ht="15" x14ac:dyDescent="0.25"/>
    <row r="2749" ht="15" x14ac:dyDescent="0.25"/>
    <row r="2750" ht="15" x14ac:dyDescent="0.25"/>
    <row r="2751" ht="15" x14ac:dyDescent="0.25"/>
    <row r="2752" ht="15" x14ac:dyDescent="0.25"/>
    <row r="2753" ht="15" x14ac:dyDescent="0.25"/>
    <row r="2754" ht="15" x14ac:dyDescent="0.25"/>
    <row r="2755" ht="15" x14ac:dyDescent="0.25"/>
    <row r="2756" ht="15" x14ac:dyDescent="0.25"/>
    <row r="2757" ht="15" x14ac:dyDescent="0.25"/>
    <row r="2758" ht="15" x14ac:dyDescent="0.25"/>
    <row r="2759" ht="15" x14ac:dyDescent="0.25"/>
    <row r="2760" ht="15" x14ac:dyDescent="0.25"/>
    <row r="2761" ht="15" x14ac:dyDescent="0.25"/>
    <row r="2762" ht="15" x14ac:dyDescent="0.25"/>
    <row r="2763" ht="15" x14ac:dyDescent="0.25"/>
    <row r="2764" ht="15" x14ac:dyDescent="0.25"/>
    <row r="2765" ht="15" x14ac:dyDescent="0.25"/>
    <row r="2766" ht="15" x14ac:dyDescent="0.25"/>
    <row r="2767" ht="15" x14ac:dyDescent="0.25"/>
    <row r="2768" ht="15" x14ac:dyDescent="0.25"/>
    <row r="2769" ht="15" x14ac:dyDescent="0.25"/>
    <row r="2770" ht="15" x14ac:dyDescent="0.25"/>
    <row r="2771" ht="15" x14ac:dyDescent="0.25"/>
    <row r="2772" ht="15" x14ac:dyDescent="0.25"/>
    <row r="2773" ht="15" x14ac:dyDescent="0.25"/>
    <row r="2774" ht="15" x14ac:dyDescent="0.25"/>
    <row r="2775" ht="15" x14ac:dyDescent="0.25"/>
    <row r="2776" ht="15" x14ac:dyDescent="0.25"/>
    <row r="2777" ht="15" x14ac:dyDescent="0.25"/>
    <row r="2778" ht="15" x14ac:dyDescent="0.25"/>
    <row r="2779" ht="15" x14ac:dyDescent="0.25"/>
    <row r="2780" ht="15" x14ac:dyDescent="0.25"/>
    <row r="2781" ht="15" x14ac:dyDescent="0.25"/>
    <row r="2782" ht="15" x14ac:dyDescent="0.25"/>
    <row r="2783" ht="15" x14ac:dyDescent="0.25"/>
    <row r="2784" ht="15" x14ac:dyDescent="0.25"/>
    <row r="2785" ht="15" x14ac:dyDescent="0.25"/>
    <row r="2786" ht="15" x14ac:dyDescent="0.25"/>
    <row r="2787" ht="15" x14ac:dyDescent="0.25"/>
    <row r="2788" ht="15" x14ac:dyDescent="0.25"/>
    <row r="2789" ht="15" x14ac:dyDescent="0.25"/>
    <row r="2790" ht="15" x14ac:dyDescent="0.25"/>
    <row r="2791" ht="15" x14ac:dyDescent="0.25"/>
    <row r="2792" ht="15" x14ac:dyDescent="0.25"/>
    <row r="2793" ht="15" x14ac:dyDescent="0.25"/>
    <row r="2794" ht="15" x14ac:dyDescent="0.25"/>
    <row r="2795" ht="15" x14ac:dyDescent="0.25"/>
    <row r="2796" ht="15" x14ac:dyDescent="0.25"/>
    <row r="2797" ht="15" x14ac:dyDescent="0.25"/>
    <row r="2798" ht="15" x14ac:dyDescent="0.25"/>
    <row r="2799" ht="15" x14ac:dyDescent="0.25"/>
    <row r="2800" ht="15" x14ac:dyDescent="0.25"/>
    <row r="2801" ht="15" x14ac:dyDescent="0.25"/>
    <row r="2802" ht="15" x14ac:dyDescent="0.25"/>
    <row r="2803" ht="15" x14ac:dyDescent="0.25"/>
    <row r="2804" ht="15" x14ac:dyDescent="0.25"/>
    <row r="2805" ht="15" x14ac:dyDescent="0.25"/>
    <row r="2806" ht="15" x14ac:dyDescent="0.25"/>
    <row r="2807" ht="15" x14ac:dyDescent="0.25"/>
    <row r="2808" ht="15" x14ac:dyDescent="0.25"/>
    <row r="2809" ht="15" x14ac:dyDescent="0.25"/>
    <row r="2810" ht="15" x14ac:dyDescent="0.25"/>
    <row r="2811" ht="15" x14ac:dyDescent="0.25"/>
    <row r="2812" ht="15" x14ac:dyDescent="0.25"/>
    <row r="2813" ht="15" x14ac:dyDescent="0.25"/>
    <row r="2814" ht="15" x14ac:dyDescent="0.25"/>
    <row r="2815" ht="15" x14ac:dyDescent="0.25"/>
    <row r="2816" ht="15" x14ac:dyDescent="0.25"/>
    <row r="2817" ht="15" x14ac:dyDescent="0.25"/>
    <row r="2818" ht="15" x14ac:dyDescent="0.25"/>
    <row r="2819" ht="15" x14ac:dyDescent="0.25"/>
    <row r="2820" ht="15" x14ac:dyDescent="0.25"/>
    <row r="2821" ht="15" x14ac:dyDescent="0.25"/>
    <row r="2822" ht="15" x14ac:dyDescent="0.25"/>
    <row r="2823" ht="15" x14ac:dyDescent="0.25"/>
    <row r="2824" ht="15" x14ac:dyDescent="0.25"/>
    <row r="2825" ht="15" x14ac:dyDescent="0.25"/>
    <row r="2826" ht="15" x14ac:dyDescent="0.25"/>
    <row r="2827" ht="15" x14ac:dyDescent="0.25"/>
    <row r="2828" ht="15" x14ac:dyDescent="0.25"/>
    <row r="2829" ht="15" x14ac:dyDescent="0.25"/>
    <row r="2830" ht="15" x14ac:dyDescent="0.25"/>
    <row r="2831" ht="15" x14ac:dyDescent="0.25"/>
    <row r="2832" ht="15" x14ac:dyDescent="0.25"/>
    <row r="2833" ht="15" x14ac:dyDescent="0.25"/>
    <row r="2834" ht="15" x14ac:dyDescent="0.25"/>
    <row r="2835" ht="15" x14ac:dyDescent="0.25"/>
    <row r="2836" ht="15" x14ac:dyDescent="0.25"/>
    <row r="2837" ht="15" x14ac:dyDescent="0.25"/>
    <row r="2838" ht="15" x14ac:dyDescent="0.25"/>
    <row r="2839" ht="15" x14ac:dyDescent="0.25"/>
    <row r="2840" ht="15" x14ac:dyDescent="0.25"/>
    <row r="2841" ht="15" x14ac:dyDescent="0.25"/>
    <row r="2842" ht="15" x14ac:dyDescent="0.25"/>
    <row r="2843" ht="15" x14ac:dyDescent="0.25"/>
    <row r="2844" ht="15" x14ac:dyDescent="0.25"/>
    <row r="2845" ht="15" x14ac:dyDescent="0.25"/>
    <row r="2846" ht="15" x14ac:dyDescent="0.25"/>
    <row r="2847" ht="15" x14ac:dyDescent="0.25"/>
    <row r="2848" ht="15" x14ac:dyDescent="0.25"/>
    <row r="2849" ht="15" x14ac:dyDescent="0.25"/>
    <row r="2850" ht="15" x14ac:dyDescent="0.25"/>
    <row r="2851" ht="15" x14ac:dyDescent="0.25"/>
    <row r="2852" ht="15" x14ac:dyDescent="0.25"/>
    <row r="2853" ht="15" x14ac:dyDescent="0.25"/>
    <row r="2854" ht="15" x14ac:dyDescent="0.25"/>
    <row r="2855" ht="15" x14ac:dyDescent="0.25"/>
    <row r="2856" ht="15" x14ac:dyDescent="0.25"/>
    <row r="2857" ht="15" x14ac:dyDescent="0.25"/>
    <row r="2858" ht="15" x14ac:dyDescent="0.25"/>
    <row r="2859" ht="15" x14ac:dyDescent="0.25"/>
    <row r="2860" ht="15" x14ac:dyDescent="0.25"/>
    <row r="2861" ht="15" x14ac:dyDescent="0.25"/>
    <row r="2862" ht="15" x14ac:dyDescent="0.25"/>
    <row r="2863" ht="15" x14ac:dyDescent="0.25"/>
    <row r="2864" ht="15" x14ac:dyDescent="0.25"/>
    <row r="2865" ht="15" x14ac:dyDescent="0.25"/>
    <row r="2866" ht="15" x14ac:dyDescent="0.25"/>
    <row r="2867" ht="15" x14ac:dyDescent="0.25"/>
    <row r="2868" ht="15" x14ac:dyDescent="0.25"/>
    <row r="2869" ht="15" x14ac:dyDescent="0.25"/>
    <row r="2870" ht="15" x14ac:dyDescent="0.25"/>
    <row r="2871" ht="15" x14ac:dyDescent="0.25"/>
    <row r="2872" ht="15" x14ac:dyDescent="0.25"/>
    <row r="2873" ht="15" x14ac:dyDescent="0.25"/>
    <row r="2874" ht="15" x14ac:dyDescent="0.25"/>
    <row r="2875" ht="15" x14ac:dyDescent="0.25"/>
    <row r="2876" ht="15" x14ac:dyDescent="0.25"/>
    <row r="2877" ht="15" x14ac:dyDescent="0.25"/>
    <row r="2878" ht="15" x14ac:dyDescent="0.25"/>
    <row r="2879" ht="15" x14ac:dyDescent="0.25"/>
    <row r="2880" ht="15" x14ac:dyDescent="0.25"/>
    <row r="2881" ht="15" x14ac:dyDescent="0.25"/>
    <row r="2882" ht="15" x14ac:dyDescent="0.25"/>
    <row r="2883" ht="15" x14ac:dyDescent="0.25"/>
    <row r="2884" ht="15" x14ac:dyDescent="0.25"/>
    <row r="2885" ht="15" x14ac:dyDescent="0.25"/>
    <row r="2886" ht="15" x14ac:dyDescent="0.25"/>
    <row r="2887" ht="15" x14ac:dyDescent="0.25"/>
    <row r="2888" ht="15" x14ac:dyDescent="0.25"/>
    <row r="2889" ht="15" x14ac:dyDescent="0.25"/>
    <row r="2890" ht="15" x14ac:dyDescent="0.25"/>
    <row r="2891" ht="15" x14ac:dyDescent="0.25"/>
    <row r="2892" ht="15" x14ac:dyDescent="0.25"/>
    <row r="2893" ht="15" x14ac:dyDescent="0.25"/>
    <row r="2894" ht="15" x14ac:dyDescent="0.25"/>
    <row r="2895" ht="15" x14ac:dyDescent="0.25"/>
    <row r="2896" ht="15" x14ac:dyDescent="0.25"/>
    <row r="2897" ht="15" x14ac:dyDescent="0.25"/>
    <row r="2898" ht="15" x14ac:dyDescent="0.25"/>
    <row r="2899" ht="15" x14ac:dyDescent="0.25"/>
    <row r="2900" ht="15" x14ac:dyDescent="0.25"/>
    <row r="2901" ht="15" x14ac:dyDescent="0.25"/>
    <row r="2902" ht="15" x14ac:dyDescent="0.25"/>
    <row r="2903" ht="15" x14ac:dyDescent="0.25"/>
    <row r="2904" ht="15" x14ac:dyDescent="0.25"/>
    <row r="2905" ht="15" x14ac:dyDescent="0.25"/>
    <row r="2906" ht="15" x14ac:dyDescent="0.25"/>
    <row r="2907" ht="15" x14ac:dyDescent="0.25"/>
    <row r="2908" ht="15" x14ac:dyDescent="0.25"/>
    <row r="2909" ht="15" x14ac:dyDescent="0.25"/>
    <row r="2910" ht="15" x14ac:dyDescent="0.25"/>
    <row r="2911" ht="15" x14ac:dyDescent="0.25"/>
    <row r="2912" ht="15" x14ac:dyDescent="0.25"/>
    <row r="2913" ht="15" x14ac:dyDescent="0.25"/>
    <row r="2914" ht="15" x14ac:dyDescent="0.25"/>
    <row r="2915" ht="15" x14ac:dyDescent="0.25"/>
    <row r="2916" ht="15" x14ac:dyDescent="0.25"/>
    <row r="2917" ht="15" x14ac:dyDescent="0.25"/>
    <row r="2918" ht="15" x14ac:dyDescent="0.25"/>
    <row r="2919" ht="15" x14ac:dyDescent="0.25"/>
    <row r="2920" ht="15" x14ac:dyDescent="0.25"/>
    <row r="2921" ht="15" x14ac:dyDescent="0.25"/>
    <row r="2922" ht="15" x14ac:dyDescent="0.25"/>
    <row r="2923" ht="15" x14ac:dyDescent="0.25"/>
    <row r="2924" ht="15" x14ac:dyDescent="0.25"/>
    <row r="2925" ht="15" x14ac:dyDescent="0.25"/>
    <row r="2926" ht="15" x14ac:dyDescent="0.25"/>
    <row r="2927" ht="15" x14ac:dyDescent="0.25"/>
    <row r="2928" ht="15" x14ac:dyDescent="0.25"/>
    <row r="2929" ht="15" x14ac:dyDescent="0.25"/>
    <row r="2930" ht="15" x14ac:dyDescent="0.25"/>
    <row r="2931" ht="15" x14ac:dyDescent="0.25"/>
    <row r="2932" ht="15" x14ac:dyDescent="0.25"/>
    <row r="2933" ht="15" x14ac:dyDescent="0.25"/>
    <row r="2934" ht="15" x14ac:dyDescent="0.25"/>
    <row r="2935" ht="15" x14ac:dyDescent="0.25"/>
    <row r="2936" ht="15" x14ac:dyDescent="0.25"/>
    <row r="2937" ht="15" x14ac:dyDescent="0.25"/>
    <row r="2938" ht="15" x14ac:dyDescent="0.25"/>
    <row r="2939" ht="15" x14ac:dyDescent="0.25"/>
    <row r="2940" ht="15" x14ac:dyDescent="0.25"/>
    <row r="2941" ht="15" x14ac:dyDescent="0.25"/>
    <row r="2942" ht="15" x14ac:dyDescent="0.25"/>
    <row r="2943" ht="15" x14ac:dyDescent="0.25"/>
    <row r="2944" ht="15" x14ac:dyDescent="0.25"/>
    <row r="2945" ht="15" x14ac:dyDescent="0.25"/>
    <row r="2946" ht="15" x14ac:dyDescent="0.25"/>
    <row r="2947" ht="15" x14ac:dyDescent="0.25"/>
    <row r="2948" ht="15" x14ac:dyDescent="0.25"/>
    <row r="2949" ht="15" x14ac:dyDescent="0.25"/>
    <row r="2950" ht="15" x14ac:dyDescent="0.25"/>
    <row r="2951" ht="15" x14ac:dyDescent="0.25"/>
    <row r="2952" ht="15" x14ac:dyDescent="0.25"/>
    <row r="2953" ht="15" x14ac:dyDescent="0.25"/>
    <row r="2954" ht="15" x14ac:dyDescent="0.25"/>
    <row r="2955" ht="15" x14ac:dyDescent="0.25"/>
    <row r="2956" ht="15" x14ac:dyDescent="0.25"/>
    <row r="2957" ht="15" x14ac:dyDescent="0.25"/>
    <row r="2958" ht="15" x14ac:dyDescent="0.25"/>
    <row r="2959" ht="15" x14ac:dyDescent="0.25"/>
    <row r="2960" ht="15" x14ac:dyDescent="0.25"/>
    <row r="2961" ht="15" x14ac:dyDescent="0.25"/>
    <row r="2962" ht="15" x14ac:dyDescent="0.25"/>
    <row r="2963" ht="15" x14ac:dyDescent="0.25"/>
    <row r="2964" ht="15" x14ac:dyDescent="0.25"/>
    <row r="2965" ht="15" x14ac:dyDescent="0.25"/>
    <row r="2966" ht="15" x14ac:dyDescent="0.25"/>
    <row r="2967" ht="15" x14ac:dyDescent="0.25"/>
    <row r="2968" ht="15" x14ac:dyDescent="0.25"/>
    <row r="2969" ht="15" x14ac:dyDescent="0.25"/>
    <row r="2970" ht="15" x14ac:dyDescent="0.25"/>
    <row r="2971" ht="15" x14ac:dyDescent="0.25"/>
    <row r="2972" ht="15" x14ac:dyDescent="0.25"/>
    <row r="2973" ht="15" x14ac:dyDescent="0.25"/>
    <row r="2974" ht="15" x14ac:dyDescent="0.25"/>
    <row r="2975" ht="15" x14ac:dyDescent="0.25"/>
    <row r="2976" ht="15" x14ac:dyDescent="0.25"/>
    <row r="2977" ht="15" x14ac:dyDescent="0.25"/>
    <row r="2978" ht="15" x14ac:dyDescent="0.25"/>
    <row r="2979" ht="15" x14ac:dyDescent="0.25"/>
    <row r="2980" ht="15" x14ac:dyDescent="0.25"/>
    <row r="2981" ht="15" x14ac:dyDescent="0.25"/>
    <row r="2982" ht="15" x14ac:dyDescent="0.25"/>
    <row r="2983" ht="15" x14ac:dyDescent="0.25"/>
    <row r="2984" ht="15" x14ac:dyDescent="0.25"/>
    <row r="2985" ht="15" x14ac:dyDescent="0.25"/>
    <row r="2986" ht="15" x14ac:dyDescent="0.25"/>
    <row r="2987" ht="15" x14ac:dyDescent="0.25"/>
    <row r="2988" ht="15" x14ac:dyDescent="0.25"/>
    <row r="2989" ht="15" x14ac:dyDescent="0.25"/>
    <row r="2990" ht="15" x14ac:dyDescent="0.25"/>
    <row r="2991" ht="15" x14ac:dyDescent="0.25"/>
    <row r="2992" ht="15" x14ac:dyDescent="0.25"/>
    <row r="2993" ht="15" x14ac:dyDescent="0.25"/>
    <row r="2994" ht="15" x14ac:dyDescent="0.25"/>
    <row r="2995" ht="15" x14ac:dyDescent="0.25"/>
    <row r="2996" ht="15" x14ac:dyDescent="0.25"/>
    <row r="2997" ht="15" x14ac:dyDescent="0.25"/>
    <row r="2998" ht="15" x14ac:dyDescent="0.25"/>
    <row r="2999" ht="15" x14ac:dyDescent="0.25"/>
    <row r="3000" ht="15" x14ac:dyDescent="0.25"/>
    <row r="3001" ht="15" x14ac:dyDescent="0.25"/>
    <row r="3002" ht="15" x14ac:dyDescent="0.25"/>
    <row r="3003" ht="15" x14ac:dyDescent="0.25"/>
    <row r="3004" ht="15" x14ac:dyDescent="0.25"/>
    <row r="3005" ht="15" x14ac:dyDescent="0.25"/>
    <row r="3006" ht="15" x14ac:dyDescent="0.25"/>
    <row r="3007" ht="15" x14ac:dyDescent="0.25"/>
    <row r="3008" ht="15" x14ac:dyDescent="0.25"/>
    <row r="3009" ht="15" x14ac:dyDescent="0.25"/>
    <row r="3010" ht="15" x14ac:dyDescent="0.25"/>
    <row r="3011" ht="15" x14ac:dyDescent="0.25"/>
    <row r="3012" ht="15" x14ac:dyDescent="0.25"/>
    <row r="3013" ht="15" x14ac:dyDescent="0.25"/>
    <row r="3014" ht="15" x14ac:dyDescent="0.25"/>
    <row r="3015" ht="15" x14ac:dyDescent="0.25"/>
    <row r="3016" ht="15" x14ac:dyDescent="0.25"/>
    <row r="3017" ht="15" x14ac:dyDescent="0.25"/>
    <row r="3018" ht="15" x14ac:dyDescent="0.25"/>
    <row r="3019" ht="15" x14ac:dyDescent="0.25"/>
    <row r="3020" ht="15" x14ac:dyDescent="0.25"/>
    <row r="3021" ht="15" x14ac:dyDescent="0.25"/>
    <row r="3022" ht="15" x14ac:dyDescent="0.25"/>
    <row r="3023" ht="15" x14ac:dyDescent="0.25"/>
    <row r="3024" ht="15" x14ac:dyDescent="0.25"/>
    <row r="3025" ht="15" x14ac:dyDescent="0.25"/>
    <row r="3026" ht="15" x14ac:dyDescent="0.25"/>
    <row r="3027" ht="15" x14ac:dyDescent="0.25"/>
    <row r="3028" ht="15" x14ac:dyDescent="0.25"/>
    <row r="3029" ht="15" x14ac:dyDescent="0.25"/>
    <row r="3030" ht="15" x14ac:dyDescent="0.25"/>
    <row r="3031" ht="15" x14ac:dyDescent="0.25"/>
    <row r="3032" ht="15" x14ac:dyDescent="0.25"/>
    <row r="3033" ht="15" x14ac:dyDescent="0.25"/>
    <row r="3034" ht="15" x14ac:dyDescent="0.25"/>
    <row r="3035" ht="15" x14ac:dyDescent="0.25"/>
    <row r="3036" ht="15" x14ac:dyDescent="0.25"/>
    <row r="3037" ht="15" x14ac:dyDescent="0.25"/>
    <row r="3038" ht="15" x14ac:dyDescent="0.25"/>
    <row r="3039" ht="15" x14ac:dyDescent="0.25"/>
    <row r="3040" ht="15" x14ac:dyDescent="0.25"/>
    <row r="3041" ht="15" x14ac:dyDescent="0.25"/>
    <row r="3042" ht="15" x14ac:dyDescent="0.25"/>
    <row r="3043" ht="15" x14ac:dyDescent="0.25"/>
    <row r="3044" ht="15" x14ac:dyDescent="0.25"/>
    <row r="3045" ht="15" x14ac:dyDescent="0.25"/>
    <row r="3046" ht="15" x14ac:dyDescent="0.25"/>
    <row r="3047" ht="15" x14ac:dyDescent="0.25"/>
    <row r="3048" ht="15" x14ac:dyDescent="0.25"/>
    <row r="3049" ht="15" x14ac:dyDescent="0.25"/>
    <row r="3050" ht="15" x14ac:dyDescent="0.25"/>
    <row r="3051" ht="15" x14ac:dyDescent="0.25"/>
    <row r="3052" ht="15" x14ac:dyDescent="0.25"/>
    <row r="3053" ht="15" x14ac:dyDescent="0.25"/>
    <row r="3054" ht="15" x14ac:dyDescent="0.25"/>
    <row r="3055" ht="15" x14ac:dyDescent="0.25"/>
    <row r="3056" ht="15" x14ac:dyDescent="0.25"/>
    <row r="3057" ht="15" x14ac:dyDescent="0.25"/>
    <row r="3058" ht="15" x14ac:dyDescent="0.25"/>
    <row r="3059" ht="15" x14ac:dyDescent="0.25"/>
    <row r="3060" ht="15" x14ac:dyDescent="0.25"/>
    <row r="3061" ht="15" x14ac:dyDescent="0.25"/>
    <row r="3062" ht="15" x14ac:dyDescent="0.25"/>
    <row r="3063" ht="15" x14ac:dyDescent="0.25"/>
    <row r="3064" ht="15" x14ac:dyDescent="0.25"/>
    <row r="3065" ht="15" x14ac:dyDescent="0.25"/>
    <row r="3066" ht="15" x14ac:dyDescent="0.25"/>
    <row r="3067" ht="15" x14ac:dyDescent="0.25"/>
    <row r="3068" ht="15" x14ac:dyDescent="0.25"/>
    <row r="3069" ht="15" x14ac:dyDescent="0.25"/>
    <row r="3070" ht="15" x14ac:dyDescent="0.25"/>
    <row r="3071" ht="15" x14ac:dyDescent="0.25"/>
    <row r="3072" ht="15" x14ac:dyDescent="0.25"/>
    <row r="3073" ht="15" x14ac:dyDescent="0.25"/>
    <row r="3074" ht="15" x14ac:dyDescent="0.25"/>
    <row r="3075" ht="15" x14ac:dyDescent="0.25"/>
    <row r="3076" ht="15" x14ac:dyDescent="0.25"/>
    <row r="3077" ht="15" x14ac:dyDescent="0.25"/>
    <row r="3078" ht="15" x14ac:dyDescent="0.25"/>
    <row r="3079" ht="15" x14ac:dyDescent="0.25"/>
    <row r="3080" ht="15" x14ac:dyDescent="0.25"/>
    <row r="3081" ht="15" x14ac:dyDescent="0.25"/>
    <row r="3082" ht="15" x14ac:dyDescent="0.25"/>
    <row r="3083" ht="15" x14ac:dyDescent="0.25"/>
    <row r="3084" ht="15" x14ac:dyDescent="0.25"/>
    <row r="3085" ht="15" x14ac:dyDescent="0.25"/>
    <row r="3086" ht="15" x14ac:dyDescent="0.25"/>
    <row r="3087" ht="15" x14ac:dyDescent="0.25"/>
    <row r="3088" ht="15" x14ac:dyDescent="0.25"/>
    <row r="3089" ht="15" x14ac:dyDescent="0.25"/>
    <row r="3090" ht="15" x14ac:dyDescent="0.25"/>
    <row r="3091" ht="15" x14ac:dyDescent="0.25"/>
    <row r="3092" ht="15" x14ac:dyDescent="0.25"/>
    <row r="3093" ht="15" x14ac:dyDescent="0.25"/>
    <row r="3094" ht="15" x14ac:dyDescent="0.25"/>
    <row r="3095" ht="15" x14ac:dyDescent="0.25"/>
    <row r="3096" ht="15" x14ac:dyDescent="0.25"/>
    <row r="3097" ht="15" x14ac:dyDescent="0.25"/>
    <row r="3098" ht="15" x14ac:dyDescent="0.25"/>
    <row r="3099" ht="15" x14ac:dyDescent="0.25"/>
    <row r="3100" ht="15" x14ac:dyDescent="0.25"/>
    <row r="3101" ht="15" x14ac:dyDescent="0.25"/>
    <row r="3102" ht="15" x14ac:dyDescent="0.25"/>
    <row r="3103" ht="15" x14ac:dyDescent="0.25"/>
    <row r="3104" ht="15" x14ac:dyDescent="0.25"/>
    <row r="3105" ht="15" x14ac:dyDescent="0.25"/>
    <row r="3106" ht="15" x14ac:dyDescent="0.25"/>
    <row r="3107" ht="15" x14ac:dyDescent="0.25"/>
    <row r="3108" ht="15" x14ac:dyDescent="0.25"/>
    <row r="3109" ht="15" x14ac:dyDescent="0.25"/>
    <row r="3110" ht="15" x14ac:dyDescent="0.25"/>
    <row r="3111" ht="15" x14ac:dyDescent="0.25"/>
    <row r="3112" ht="15" x14ac:dyDescent="0.25"/>
    <row r="3113" ht="15" x14ac:dyDescent="0.25"/>
    <row r="3114" ht="15" x14ac:dyDescent="0.25"/>
    <row r="3115" ht="15" x14ac:dyDescent="0.25"/>
    <row r="3116" ht="15" x14ac:dyDescent="0.25"/>
    <row r="3117" ht="15" x14ac:dyDescent="0.25"/>
    <row r="3118" ht="15" x14ac:dyDescent="0.25"/>
    <row r="3119" ht="15" x14ac:dyDescent="0.25"/>
    <row r="3120" ht="15" x14ac:dyDescent="0.25"/>
    <row r="3121" ht="15" x14ac:dyDescent="0.25"/>
    <row r="3122" ht="15" x14ac:dyDescent="0.25"/>
    <row r="3123" ht="15" x14ac:dyDescent="0.25"/>
    <row r="3124" ht="15" x14ac:dyDescent="0.25"/>
    <row r="3125" ht="15" x14ac:dyDescent="0.25"/>
    <row r="3126" ht="15" x14ac:dyDescent="0.25"/>
    <row r="3127" ht="15" x14ac:dyDescent="0.25"/>
    <row r="3128" ht="15" x14ac:dyDescent="0.25"/>
    <row r="3129" ht="15" x14ac:dyDescent="0.25"/>
    <row r="3130" ht="15" x14ac:dyDescent="0.25"/>
    <row r="3131" ht="15" x14ac:dyDescent="0.25"/>
    <row r="3132" ht="15" x14ac:dyDescent="0.25"/>
    <row r="3133" ht="15" x14ac:dyDescent="0.25"/>
    <row r="3134" ht="15" x14ac:dyDescent="0.25"/>
    <row r="3135" ht="15" x14ac:dyDescent="0.25"/>
    <row r="3136" ht="15" x14ac:dyDescent="0.25"/>
    <row r="3137" ht="15" x14ac:dyDescent="0.25"/>
    <row r="3138" ht="15" x14ac:dyDescent="0.25"/>
    <row r="3139" ht="15" x14ac:dyDescent="0.25"/>
    <row r="3140" ht="15" x14ac:dyDescent="0.25"/>
    <row r="3141" ht="15" x14ac:dyDescent="0.25"/>
    <row r="3142" ht="15" x14ac:dyDescent="0.25"/>
    <row r="3143" ht="15" x14ac:dyDescent="0.25"/>
    <row r="3144" ht="15" x14ac:dyDescent="0.25"/>
    <row r="3145" ht="15" x14ac:dyDescent="0.25"/>
    <row r="3146" ht="15" x14ac:dyDescent="0.25"/>
    <row r="3147" ht="15" x14ac:dyDescent="0.25"/>
    <row r="3148" ht="15" x14ac:dyDescent="0.25"/>
    <row r="3149" ht="15" x14ac:dyDescent="0.25"/>
    <row r="3150" ht="15" x14ac:dyDescent="0.25"/>
    <row r="3151" ht="15" x14ac:dyDescent="0.25"/>
    <row r="3152" ht="15" x14ac:dyDescent="0.25"/>
    <row r="3153" ht="15" x14ac:dyDescent="0.25"/>
    <row r="3154" ht="15" x14ac:dyDescent="0.25"/>
    <row r="3155" ht="15" x14ac:dyDescent="0.25"/>
    <row r="3156" ht="15" x14ac:dyDescent="0.25"/>
    <row r="3157" ht="15" x14ac:dyDescent="0.25"/>
    <row r="3158" ht="15" x14ac:dyDescent="0.25"/>
    <row r="3159" ht="15" x14ac:dyDescent="0.25"/>
    <row r="3160" ht="15" x14ac:dyDescent="0.25"/>
    <row r="3161" ht="15" x14ac:dyDescent="0.25"/>
    <row r="3162" ht="15" x14ac:dyDescent="0.25"/>
    <row r="3163" ht="15" x14ac:dyDescent="0.25"/>
    <row r="3164" ht="15" x14ac:dyDescent="0.25"/>
    <row r="3165" ht="15" x14ac:dyDescent="0.25"/>
    <row r="3166" ht="15" x14ac:dyDescent="0.25"/>
    <row r="3167" ht="15" x14ac:dyDescent="0.25"/>
    <row r="3168" ht="15" x14ac:dyDescent="0.25"/>
    <row r="3169" ht="15" x14ac:dyDescent="0.25"/>
    <row r="3170" ht="15" x14ac:dyDescent="0.25"/>
    <row r="3171" ht="15" x14ac:dyDescent="0.25"/>
    <row r="3172" ht="15" x14ac:dyDescent="0.25"/>
    <row r="3173" ht="15" x14ac:dyDescent="0.25"/>
    <row r="3174" ht="15" x14ac:dyDescent="0.25"/>
    <row r="3175" ht="15" x14ac:dyDescent="0.25"/>
    <row r="3176" ht="15" x14ac:dyDescent="0.25"/>
    <row r="3177" ht="15" x14ac:dyDescent="0.25"/>
    <row r="3178" ht="15" x14ac:dyDescent="0.25"/>
    <row r="3179" ht="15" x14ac:dyDescent="0.25"/>
    <row r="3180" ht="15" x14ac:dyDescent="0.25"/>
    <row r="3181" ht="15" x14ac:dyDescent="0.25"/>
    <row r="3182" ht="15" x14ac:dyDescent="0.25"/>
    <row r="3183" ht="15" x14ac:dyDescent="0.25"/>
    <row r="3184" ht="15" x14ac:dyDescent="0.25"/>
    <row r="3185" ht="15" x14ac:dyDescent="0.25"/>
    <row r="3186" ht="15" x14ac:dyDescent="0.25"/>
    <row r="3187" ht="15" x14ac:dyDescent="0.25"/>
    <row r="3188" ht="15" x14ac:dyDescent="0.25"/>
    <row r="3189" ht="15" x14ac:dyDescent="0.25"/>
    <row r="3190" ht="15" x14ac:dyDescent="0.25"/>
    <row r="3191" ht="15" x14ac:dyDescent="0.25"/>
    <row r="3192" ht="15" x14ac:dyDescent="0.25"/>
    <row r="3193" ht="15" x14ac:dyDescent="0.25"/>
    <row r="3194" ht="15" x14ac:dyDescent="0.25"/>
    <row r="3195" ht="15" x14ac:dyDescent="0.25"/>
    <row r="3196" ht="15" x14ac:dyDescent="0.25"/>
    <row r="3197" ht="15" x14ac:dyDescent="0.25"/>
    <row r="3198" ht="15" x14ac:dyDescent="0.25"/>
    <row r="3199" ht="15" x14ac:dyDescent="0.25"/>
    <row r="3200" ht="15" x14ac:dyDescent="0.25"/>
    <row r="3201" ht="15" x14ac:dyDescent="0.25"/>
    <row r="3202" ht="15" x14ac:dyDescent="0.25"/>
    <row r="3203" ht="15" x14ac:dyDescent="0.25"/>
    <row r="3204" ht="15" x14ac:dyDescent="0.25"/>
    <row r="3205" ht="15" x14ac:dyDescent="0.25"/>
    <row r="3206" ht="15" x14ac:dyDescent="0.25"/>
    <row r="3207" ht="15" x14ac:dyDescent="0.25"/>
    <row r="3208" ht="15" x14ac:dyDescent="0.25"/>
    <row r="3209" ht="15" x14ac:dyDescent="0.25"/>
    <row r="3210" ht="15" x14ac:dyDescent="0.25"/>
    <row r="3211" ht="15" x14ac:dyDescent="0.25"/>
    <row r="3212" ht="15" x14ac:dyDescent="0.25"/>
    <row r="3213" ht="15" x14ac:dyDescent="0.25"/>
    <row r="3214" ht="15" x14ac:dyDescent="0.25"/>
    <row r="3215" ht="15" x14ac:dyDescent="0.25"/>
    <row r="3216" ht="15" x14ac:dyDescent="0.25"/>
    <row r="3217" ht="15" x14ac:dyDescent="0.25"/>
    <row r="3218" ht="15" x14ac:dyDescent="0.25"/>
    <row r="3219" ht="15" x14ac:dyDescent="0.25"/>
    <row r="3220" ht="15" x14ac:dyDescent="0.25"/>
    <row r="3221" ht="15" x14ac:dyDescent="0.25"/>
    <row r="3222" ht="15" x14ac:dyDescent="0.25"/>
    <row r="3223" ht="15" x14ac:dyDescent="0.25"/>
    <row r="3224" ht="15" x14ac:dyDescent="0.25"/>
    <row r="3225" ht="15" x14ac:dyDescent="0.25"/>
    <row r="3226" ht="15" x14ac:dyDescent="0.25"/>
    <row r="3227" ht="15" x14ac:dyDescent="0.25"/>
    <row r="3228" ht="15" x14ac:dyDescent="0.25"/>
    <row r="3229" ht="15" x14ac:dyDescent="0.25"/>
    <row r="3230" ht="15" x14ac:dyDescent="0.25"/>
    <row r="3231" ht="15" x14ac:dyDescent="0.25"/>
    <row r="3232" ht="15" x14ac:dyDescent="0.25"/>
    <row r="3233" ht="15" x14ac:dyDescent="0.25"/>
    <row r="3234" ht="15" x14ac:dyDescent="0.25"/>
    <row r="3235" ht="15" x14ac:dyDescent="0.25"/>
    <row r="3236" ht="15" x14ac:dyDescent="0.25"/>
    <row r="3237" ht="15" x14ac:dyDescent="0.25"/>
    <row r="3238" ht="15" x14ac:dyDescent="0.25"/>
    <row r="3239" ht="15" x14ac:dyDescent="0.25"/>
    <row r="3240" ht="15" x14ac:dyDescent="0.25"/>
    <row r="3241" ht="15" x14ac:dyDescent="0.25"/>
    <row r="3242" ht="15" x14ac:dyDescent="0.25"/>
    <row r="3243" ht="15" x14ac:dyDescent="0.25"/>
    <row r="3244" ht="15" x14ac:dyDescent="0.25"/>
    <row r="3245" ht="15" x14ac:dyDescent="0.25"/>
    <row r="3246" ht="15" x14ac:dyDescent="0.25"/>
    <row r="3247" ht="15" x14ac:dyDescent="0.25"/>
    <row r="3248" ht="15" x14ac:dyDescent="0.25"/>
    <row r="3249" ht="15" x14ac:dyDescent="0.25"/>
    <row r="3250" ht="15" x14ac:dyDescent="0.25"/>
    <row r="3251" ht="15" x14ac:dyDescent="0.25"/>
    <row r="3252" ht="15" x14ac:dyDescent="0.25"/>
    <row r="3253" ht="15" x14ac:dyDescent="0.25"/>
    <row r="3254" ht="15" x14ac:dyDescent="0.25"/>
    <row r="3255" ht="15" x14ac:dyDescent="0.25"/>
    <row r="3256" ht="15" x14ac:dyDescent="0.25"/>
    <row r="3257" ht="15" x14ac:dyDescent="0.25"/>
    <row r="3258" ht="15" x14ac:dyDescent="0.25"/>
    <row r="3259" ht="15" x14ac:dyDescent="0.25"/>
    <row r="3260" ht="15" x14ac:dyDescent="0.25"/>
    <row r="3261" ht="15" x14ac:dyDescent="0.25"/>
    <row r="3262" ht="15" x14ac:dyDescent="0.25"/>
    <row r="3263" ht="15" x14ac:dyDescent="0.25"/>
    <row r="3264" ht="15" x14ac:dyDescent="0.25"/>
    <row r="3265" ht="15" x14ac:dyDescent="0.25"/>
    <row r="3266" ht="15" x14ac:dyDescent="0.25"/>
    <row r="3267" ht="15" x14ac:dyDescent="0.25"/>
    <row r="3268" ht="15" x14ac:dyDescent="0.25"/>
    <row r="3269" ht="15" x14ac:dyDescent="0.25"/>
    <row r="3270" ht="15" x14ac:dyDescent="0.25"/>
    <row r="3271" ht="15" x14ac:dyDescent="0.25"/>
    <row r="3272" ht="15" x14ac:dyDescent="0.25"/>
    <row r="3273" ht="15" x14ac:dyDescent="0.25"/>
    <row r="3274" ht="15" x14ac:dyDescent="0.25"/>
    <row r="3275" ht="15" x14ac:dyDescent="0.25"/>
    <row r="3276" ht="15" x14ac:dyDescent="0.25"/>
    <row r="3277" ht="15" x14ac:dyDescent="0.25"/>
    <row r="3278" ht="15" x14ac:dyDescent="0.25"/>
    <row r="3279" ht="15" x14ac:dyDescent="0.25"/>
    <row r="3280" ht="15" x14ac:dyDescent="0.25"/>
    <row r="3281" ht="15" x14ac:dyDescent="0.25"/>
    <row r="3282" ht="15" x14ac:dyDescent="0.25"/>
    <row r="3283" ht="15" x14ac:dyDescent="0.25"/>
    <row r="3284" ht="15" x14ac:dyDescent="0.25"/>
    <row r="3285" ht="15" x14ac:dyDescent="0.25"/>
    <row r="3286" ht="15" x14ac:dyDescent="0.25"/>
    <row r="3287" ht="15" x14ac:dyDescent="0.25"/>
    <row r="3288" ht="15" x14ac:dyDescent="0.25"/>
    <row r="3289" ht="15" x14ac:dyDescent="0.25"/>
    <row r="3290" ht="15" x14ac:dyDescent="0.25"/>
    <row r="3291" ht="15" x14ac:dyDescent="0.25"/>
    <row r="3292" ht="15" x14ac:dyDescent="0.25"/>
    <row r="3293" ht="15" x14ac:dyDescent="0.25"/>
    <row r="3294" ht="15" x14ac:dyDescent="0.25"/>
    <row r="3295" ht="15" x14ac:dyDescent="0.25"/>
    <row r="3296" ht="15" x14ac:dyDescent="0.25"/>
    <row r="3297" ht="15" x14ac:dyDescent="0.25"/>
    <row r="3298" ht="15" x14ac:dyDescent="0.25"/>
    <row r="3299" ht="15" x14ac:dyDescent="0.25"/>
    <row r="3300" ht="15" x14ac:dyDescent="0.25"/>
    <row r="3301" ht="15" x14ac:dyDescent="0.25"/>
    <row r="3302" ht="15" x14ac:dyDescent="0.25"/>
    <row r="3303" ht="15" x14ac:dyDescent="0.25"/>
    <row r="3304" ht="15" x14ac:dyDescent="0.25"/>
    <row r="3305" ht="15" x14ac:dyDescent="0.25"/>
    <row r="3306" ht="15" x14ac:dyDescent="0.25"/>
    <row r="3307" ht="15" x14ac:dyDescent="0.25"/>
    <row r="3308" ht="15" x14ac:dyDescent="0.25"/>
    <row r="3309" ht="15" x14ac:dyDescent="0.25"/>
    <row r="3310" ht="15" x14ac:dyDescent="0.25"/>
    <row r="3311" ht="15" x14ac:dyDescent="0.25"/>
    <row r="3312" ht="15" x14ac:dyDescent="0.25"/>
    <row r="3313" ht="15" x14ac:dyDescent="0.25"/>
    <row r="3314" ht="15" x14ac:dyDescent="0.25"/>
    <row r="3315" ht="15" x14ac:dyDescent="0.25"/>
    <row r="3316" ht="15" x14ac:dyDescent="0.25"/>
    <row r="3317" ht="15" x14ac:dyDescent="0.25"/>
    <row r="3318" ht="15" x14ac:dyDescent="0.25"/>
    <row r="3319" ht="15" x14ac:dyDescent="0.25"/>
    <row r="3320" ht="15" x14ac:dyDescent="0.25"/>
    <row r="3321" ht="15" x14ac:dyDescent="0.25"/>
    <row r="3322" ht="15" x14ac:dyDescent="0.25"/>
    <row r="3323" ht="15" x14ac:dyDescent="0.25"/>
    <row r="3324" ht="15" x14ac:dyDescent="0.25"/>
    <row r="3325" ht="15" x14ac:dyDescent="0.25"/>
    <row r="3326" ht="15" x14ac:dyDescent="0.25"/>
    <row r="3327" ht="15" x14ac:dyDescent="0.25"/>
    <row r="3328" ht="15" x14ac:dyDescent="0.25"/>
    <row r="3329" ht="15" x14ac:dyDescent="0.25"/>
    <row r="3330" ht="15" x14ac:dyDescent="0.25"/>
    <row r="3331" ht="15" x14ac:dyDescent="0.25"/>
    <row r="3332" ht="15" x14ac:dyDescent="0.25"/>
    <row r="3333" ht="15" x14ac:dyDescent="0.25"/>
    <row r="3334" ht="15" x14ac:dyDescent="0.25"/>
    <row r="3335" ht="15" x14ac:dyDescent="0.25"/>
    <row r="3336" ht="15" x14ac:dyDescent="0.25"/>
    <row r="3337" ht="15" x14ac:dyDescent="0.25"/>
    <row r="3338" ht="15" x14ac:dyDescent="0.25"/>
    <row r="3339" ht="15" x14ac:dyDescent="0.25"/>
    <row r="3340" ht="15" x14ac:dyDescent="0.25"/>
    <row r="3341" ht="15" x14ac:dyDescent="0.25"/>
    <row r="3342" ht="15" x14ac:dyDescent="0.25"/>
    <row r="3343" ht="15" x14ac:dyDescent="0.25"/>
    <row r="3344" ht="15" x14ac:dyDescent="0.25"/>
    <row r="3345" ht="15" x14ac:dyDescent="0.25"/>
    <row r="3346" ht="15" x14ac:dyDescent="0.25"/>
    <row r="3347" ht="15" x14ac:dyDescent="0.25"/>
    <row r="3348" ht="15" x14ac:dyDescent="0.25"/>
    <row r="3349" ht="15" x14ac:dyDescent="0.25"/>
    <row r="3350" ht="15" x14ac:dyDescent="0.25"/>
    <row r="3351" ht="15" x14ac:dyDescent="0.25"/>
    <row r="3352" ht="15" x14ac:dyDescent="0.25"/>
    <row r="3353" ht="15" x14ac:dyDescent="0.25"/>
    <row r="3354" ht="15" x14ac:dyDescent="0.25"/>
    <row r="3355" ht="15" x14ac:dyDescent="0.25"/>
    <row r="3356" ht="15" x14ac:dyDescent="0.25"/>
    <row r="3357" ht="15" x14ac:dyDescent="0.25"/>
    <row r="3358" ht="15" x14ac:dyDescent="0.25"/>
    <row r="3359" ht="15" x14ac:dyDescent="0.25"/>
    <row r="3360" ht="15" x14ac:dyDescent="0.25"/>
    <row r="3361" ht="15" x14ac:dyDescent="0.25"/>
    <row r="3362" ht="15" x14ac:dyDescent="0.25"/>
    <row r="3363" ht="15" x14ac:dyDescent="0.25"/>
    <row r="3364" ht="15" x14ac:dyDescent="0.25"/>
    <row r="3365" ht="15" x14ac:dyDescent="0.25"/>
    <row r="3366" ht="15" x14ac:dyDescent="0.25"/>
    <row r="3367" ht="15" x14ac:dyDescent="0.25"/>
    <row r="3368" ht="15" x14ac:dyDescent="0.25"/>
    <row r="3369" ht="15" x14ac:dyDescent="0.25"/>
    <row r="3370" ht="15" x14ac:dyDescent="0.25"/>
    <row r="3371" ht="15" x14ac:dyDescent="0.25"/>
    <row r="3372" ht="15" x14ac:dyDescent="0.25"/>
    <row r="3373" ht="15" x14ac:dyDescent="0.25"/>
    <row r="3374" ht="15" x14ac:dyDescent="0.25"/>
    <row r="3375" ht="15" x14ac:dyDescent="0.25"/>
    <row r="3376" ht="15" x14ac:dyDescent="0.25"/>
    <row r="3377" ht="15" x14ac:dyDescent="0.25"/>
    <row r="3378" ht="15" x14ac:dyDescent="0.25"/>
    <row r="3379" ht="15" x14ac:dyDescent="0.25"/>
    <row r="3380" ht="15" x14ac:dyDescent="0.25"/>
    <row r="3381" ht="15" x14ac:dyDescent="0.25"/>
    <row r="3382" ht="15" x14ac:dyDescent="0.25"/>
    <row r="3383" ht="15" x14ac:dyDescent="0.25"/>
    <row r="3384" ht="15" x14ac:dyDescent="0.25"/>
    <row r="3385" ht="15" x14ac:dyDescent="0.25"/>
    <row r="3386" ht="15" x14ac:dyDescent="0.25"/>
    <row r="3387" ht="15" x14ac:dyDescent="0.25"/>
    <row r="3388" ht="15" x14ac:dyDescent="0.25"/>
    <row r="3389" ht="15" x14ac:dyDescent="0.25"/>
    <row r="3390" ht="15" x14ac:dyDescent="0.25"/>
    <row r="3391" ht="15" x14ac:dyDescent="0.25"/>
    <row r="3392" ht="15" x14ac:dyDescent="0.25"/>
    <row r="3393" ht="15" x14ac:dyDescent="0.25"/>
    <row r="3394" ht="15" x14ac:dyDescent="0.25"/>
    <row r="3395" ht="15" x14ac:dyDescent="0.25"/>
    <row r="3396" ht="15" x14ac:dyDescent="0.25"/>
    <row r="3397" ht="15" x14ac:dyDescent="0.25"/>
    <row r="3398" ht="15" x14ac:dyDescent="0.25"/>
    <row r="3399" ht="15" x14ac:dyDescent="0.25"/>
    <row r="3400" ht="15" x14ac:dyDescent="0.25"/>
    <row r="3401" ht="15" x14ac:dyDescent="0.25"/>
    <row r="3402" ht="15" x14ac:dyDescent="0.25"/>
    <row r="3403" ht="15" x14ac:dyDescent="0.25"/>
    <row r="3404" ht="15" x14ac:dyDescent="0.25"/>
    <row r="3405" ht="15" x14ac:dyDescent="0.25"/>
    <row r="3406" ht="15" x14ac:dyDescent="0.25"/>
    <row r="3407" ht="15" x14ac:dyDescent="0.25"/>
    <row r="3408" ht="15" x14ac:dyDescent="0.25"/>
    <row r="3409" ht="15" x14ac:dyDescent="0.25"/>
    <row r="3410" ht="15" x14ac:dyDescent="0.25"/>
    <row r="3411" ht="15" x14ac:dyDescent="0.25"/>
    <row r="3412" ht="15" x14ac:dyDescent="0.25"/>
    <row r="3413" ht="15" x14ac:dyDescent="0.25"/>
    <row r="3414" ht="15" x14ac:dyDescent="0.25"/>
    <row r="3415" ht="15" x14ac:dyDescent="0.25"/>
    <row r="3416" ht="15" x14ac:dyDescent="0.25"/>
    <row r="3417" ht="15" x14ac:dyDescent="0.25"/>
    <row r="3418" ht="15" x14ac:dyDescent="0.25"/>
    <row r="3419" ht="15" x14ac:dyDescent="0.25"/>
    <row r="3420" ht="15" x14ac:dyDescent="0.25"/>
    <row r="3421" ht="15" x14ac:dyDescent="0.25"/>
    <row r="3422" ht="15" x14ac:dyDescent="0.25"/>
    <row r="3423" ht="15" x14ac:dyDescent="0.25"/>
    <row r="3424" ht="15" x14ac:dyDescent="0.25"/>
    <row r="3425" ht="15" x14ac:dyDescent="0.25"/>
    <row r="3426" ht="15" x14ac:dyDescent="0.25"/>
    <row r="3427" ht="15" x14ac:dyDescent="0.25"/>
    <row r="3428" ht="15" x14ac:dyDescent="0.25"/>
    <row r="3429" ht="15" x14ac:dyDescent="0.25"/>
    <row r="3430" ht="15" x14ac:dyDescent="0.25"/>
    <row r="3431" ht="15" x14ac:dyDescent="0.25"/>
    <row r="3432" ht="15" x14ac:dyDescent="0.25"/>
    <row r="3433" ht="15" x14ac:dyDescent="0.25"/>
    <row r="3434" ht="15" x14ac:dyDescent="0.25"/>
    <row r="3435" ht="15" x14ac:dyDescent="0.25"/>
    <row r="3436" ht="15" x14ac:dyDescent="0.25"/>
    <row r="3437" ht="15" x14ac:dyDescent="0.25"/>
    <row r="3438" ht="15" x14ac:dyDescent="0.25"/>
    <row r="3439" ht="15" x14ac:dyDescent="0.25"/>
    <row r="3440" ht="15" x14ac:dyDescent="0.25"/>
    <row r="3441" ht="15" x14ac:dyDescent="0.25"/>
    <row r="3442" ht="15" x14ac:dyDescent="0.25"/>
    <row r="3443" ht="15" x14ac:dyDescent="0.25"/>
    <row r="3444" ht="15" x14ac:dyDescent="0.25"/>
    <row r="3445" ht="15" x14ac:dyDescent="0.25"/>
    <row r="3446" ht="15" x14ac:dyDescent="0.25"/>
    <row r="3447" ht="15" x14ac:dyDescent="0.25"/>
    <row r="3448" ht="15" x14ac:dyDescent="0.25"/>
    <row r="3449" ht="15" x14ac:dyDescent="0.25"/>
    <row r="3450" ht="15" x14ac:dyDescent="0.25"/>
    <row r="3451" ht="15" x14ac:dyDescent="0.25"/>
    <row r="3452" ht="15" x14ac:dyDescent="0.25"/>
    <row r="3453" ht="15" x14ac:dyDescent="0.25"/>
    <row r="3454" ht="15" x14ac:dyDescent="0.25"/>
    <row r="3455" ht="15" x14ac:dyDescent="0.25"/>
    <row r="3456" ht="15" x14ac:dyDescent="0.25"/>
    <row r="3457" ht="15" x14ac:dyDescent="0.25"/>
    <row r="3458" ht="15" x14ac:dyDescent="0.25"/>
    <row r="3459" ht="15" x14ac:dyDescent="0.25"/>
    <row r="3460" ht="15" x14ac:dyDescent="0.25"/>
    <row r="3461" ht="15" x14ac:dyDescent="0.25"/>
    <row r="3462" ht="15" x14ac:dyDescent="0.25"/>
    <row r="3463" ht="15" x14ac:dyDescent="0.25"/>
    <row r="3464" ht="15" x14ac:dyDescent="0.25"/>
    <row r="3465" ht="15" x14ac:dyDescent="0.25"/>
    <row r="3466" ht="15" x14ac:dyDescent="0.25"/>
    <row r="3467" ht="15" x14ac:dyDescent="0.25"/>
    <row r="3468" ht="15" x14ac:dyDescent="0.25"/>
    <row r="3469" ht="15" x14ac:dyDescent="0.25"/>
    <row r="3470" ht="15" x14ac:dyDescent="0.25"/>
    <row r="3471" ht="15" x14ac:dyDescent="0.25"/>
    <row r="3472" ht="15" x14ac:dyDescent="0.25"/>
    <row r="3473" ht="15" x14ac:dyDescent="0.25"/>
    <row r="3474" ht="15" x14ac:dyDescent="0.25"/>
    <row r="3475" ht="15" x14ac:dyDescent="0.25"/>
    <row r="3476" ht="15" x14ac:dyDescent="0.25"/>
    <row r="3477" ht="15" x14ac:dyDescent="0.25"/>
    <row r="3478" ht="15" x14ac:dyDescent="0.25"/>
    <row r="3479" ht="15" x14ac:dyDescent="0.25"/>
    <row r="3480" ht="15" x14ac:dyDescent="0.25"/>
    <row r="3481" ht="15" x14ac:dyDescent="0.25"/>
    <row r="3482" ht="15" x14ac:dyDescent="0.25"/>
    <row r="3483" ht="15" x14ac:dyDescent="0.25"/>
    <row r="3484" ht="15" x14ac:dyDescent="0.25"/>
    <row r="3485" ht="15" x14ac:dyDescent="0.25"/>
    <row r="3486" ht="15" x14ac:dyDescent="0.25"/>
    <row r="3487" ht="15" x14ac:dyDescent="0.25"/>
    <row r="3488" ht="15" x14ac:dyDescent="0.25"/>
    <row r="3489" ht="15" x14ac:dyDescent="0.25"/>
    <row r="3490" ht="15" x14ac:dyDescent="0.25"/>
    <row r="3491" ht="15" x14ac:dyDescent="0.25"/>
    <row r="3492" ht="15" x14ac:dyDescent="0.25"/>
    <row r="3493" ht="15" x14ac:dyDescent="0.25"/>
    <row r="3494" ht="15" x14ac:dyDescent="0.25"/>
    <row r="3495" ht="15" x14ac:dyDescent="0.25"/>
    <row r="3496" ht="15" x14ac:dyDescent="0.25"/>
    <row r="3497" ht="15" x14ac:dyDescent="0.25"/>
    <row r="3498" ht="15" x14ac:dyDescent="0.25"/>
    <row r="3499" ht="15" x14ac:dyDescent="0.25"/>
    <row r="3500" ht="15" x14ac:dyDescent="0.25"/>
    <row r="3501" ht="15" x14ac:dyDescent="0.25"/>
    <row r="3502" ht="15" x14ac:dyDescent="0.25"/>
    <row r="3503" ht="15" x14ac:dyDescent="0.25"/>
    <row r="3504" ht="15" x14ac:dyDescent="0.25"/>
    <row r="3505" ht="15" x14ac:dyDescent="0.25"/>
    <row r="3506" ht="15" x14ac:dyDescent="0.25"/>
    <row r="3507" ht="15" x14ac:dyDescent="0.25"/>
    <row r="3508" ht="15" x14ac:dyDescent="0.25"/>
    <row r="3509" ht="15" x14ac:dyDescent="0.25"/>
    <row r="3510" ht="15" x14ac:dyDescent="0.25"/>
    <row r="3511" ht="15" x14ac:dyDescent="0.25"/>
    <row r="3512" ht="15" x14ac:dyDescent="0.25"/>
    <row r="3513" ht="15" x14ac:dyDescent="0.25"/>
    <row r="3514" ht="15" x14ac:dyDescent="0.25"/>
    <row r="3515" ht="15" x14ac:dyDescent="0.25"/>
    <row r="3516" ht="15" x14ac:dyDescent="0.25"/>
    <row r="3517" ht="15" x14ac:dyDescent="0.25"/>
    <row r="3518" ht="15" x14ac:dyDescent="0.25"/>
    <row r="3519" ht="15" x14ac:dyDescent="0.25"/>
    <row r="3520" ht="15" x14ac:dyDescent="0.25"/>
    <row r="3521" ht="15" x14ac:dyDescent="0.25"/>
    <row r="3522" ht="15" x14ac:dyDescent="0.25"/>
    <row r="3523" ht="15" x14ac:dyDescent="0.25"/>
    <row r="3524" ht="15" x14ac:dyDescent="0.25"/>
    <row r="3525" ht="15" x14ac:dyDescent="0.25"/>
    <row r="3526" ht="15" x14ac:dyDescent="0.25"/>
    <row r="3527" ht="15" x14ac:dyDescent="0.25"/>
    <row r="3528" ht="15" x14ac:dyDescent="0.25"/>
    <row r="3529" ht="15" x14ac:dyDescent="0.25"/>
    <row r="3530" ht="15" x14ac:dyDescent="0.25"/>
    <row r="3531" ht="15" x14ac:dyDescent="0.25"/>
    <row r="3532" ht="15" x14ac:dyDescent="0.25"/>
    <row r="3533" ht="15" x14ac:dyDescent="0.25"/>
    <row r="3534" ht="15" x14ac:dyDescent="0.25"/>
    <row r="3535" ht="15" x14ac:dyDescent="0.25"/>
    <row r="3536" ht="15" x14ac:dyDescent="0.25"/>
    <row r="3537" ht="15" x14ac:dyDescent="0.25"/>
    <row r="3538" ht="15" x14ac:dyDescent="0.25"/>
    <row r="3539" ht="15" x14ac:dyDescent="0.25"/>
    <row r="3540" ht="15" x14ac:dyDescent="0.25"/>
    <row r="3541" ht="15" x14ac:dyDescent="0.25"/>
    <row r="3542" ht="15" x14ac:dyDescent="0.25"/>
    <row r="3543" ht="15" x14ac:dyDescent="0.25"/>
    <row r="3544" ht="15" x14ac:dyDescent="0.25"/>
    <row r="3545" ht="15" x14ac:dyDescent="0.25"/>
    <row r="3546" ht="15" x14ac:dyDescent="0.25"/>
    <row r="3547" ht="15" x14ac:dyDescent="0.25"/>
    <row r="3548" ht="15" x14ac:dyDescent="0.25"/>
    <row r="3549" ht="15" x14ac:dyDescent="0.25"/>
    <row r="3550" ht="15" x14ac:dyDescent="0.25"/>
    <row r="3551" ht="15" x14ac:dyDescent="0.25"/>
    <row r="3552" ht="15" x14ac:dyDescent="0.25"/>
    <row r="3553" ht="15" x14ac:dyDescent="0.25"/>
    <row r="3554" ht="15" x14ac:dyDescent="0.25"/>
    <row r="3555" ht="15" x14ac:dyDescent="0.25"/>
    <row r="3556" ht="15" x14ac:dyDescent="0.25"/>
    <row r="3557" ht="15" x14ac:dyDescent="0.25"/>
    <row r="3558" ht="15" x14ac:dyDescent="0.25"/>
    <row r="3559" ht="15" x14ac:dyDescent="0.25"/>
    <row r="3560" ht="15" x14ac:dyDescent="0.25"/>
    <row r="3561" ht="15" x14ac:dyDescent="0.25"/>
    <row r="3562" ht="15" x14ac:dyDescent="0.25"/>
    <row r="3563" ht="15" x14ac:dyDescent="0.25"/>
    <row r="3564" ht="15" x14ac:dyDescent="0.25"/>
    <row r="3565" ht="15" x14ac:dyDescent="0.25"/>
    <row r="3566" ht="15" x14ac:dyDescent="0.25"/>
    <row r="3567" ht="15" x14ac:dyDescent="0.25"/>
    <row r="3568" ht="15" x14ac:dyDescent="0.25"/>
    <row r="3569" ht="15" x14ac:dyDescent="0.25"/>
    <row r="3570" ht="15" x14ac:dyDescent="0.25"/>
    <row r="3571" ht="15" x14ac:dyDescent="0.25"/>
    <row r="3572" ht="15" x14ac:dyDescent="0.25"/>
    <row r="3573" ht="15" x14ac:dyDescent="0.25"/>
    <row r="3574" ht="15" x14ac:dyDescent="0.25"/>
    <row r="3575" ht="15" x14ac:dyDescent="0.25"/>
    <row r="3576" ht="15" x14ac:dyDescent="0.25"/>
    <row r="3577" ht="15" x14ac:dyDescent="0.25"/>
    <row r="3578" ht="15" x14ac:dyDescent="0.25"/>
    <row r="3579" ht="15" x14ac:dyDescent="0.25"/>
    <row r="3580" ht="15" x14ac:dyDescent="0.25"/>
    <row r="3581" ht="15" x14ac:dyDescent="0.25"/>
    <row r="3582" ht="15" x14ac:dyDescent="0.25"/>
    <row r="3583" ht="15" x14ac:dyDescent="0.25"/>
    <row r="3584" ht="15" x14ac:dyDescent="0.25"/>
    <row r="3585" ht="15" x14ac:dyDescent="0.25"/>
    <row r="3586" ht="15" x14ac:dyDescent="0.25"/>
    <row r="3587" ht="15" x14ac:dyDescent="0.25"/>
    <row r="3588" ht="15" x14ac:dyDescent="0.25"/>
    <row r="3589" ht="15" x14ac:dyDescent="0.25"/>
    <row r="3590" ht="15" x14ac:dyDescent="0.25"/>
    <row r="3591" ht="15" x14ac:dyDescent="0.25"/>
    <row r="3592" ht="15" x14ac:dyDescent="0.25"/>
    <row r="3593" ht="15" x14ac:dyDescent="0.25"/>
    <row r="3594" ht="15" x14ac:dyDescent="0.25"/>
    <row r="3595" ht="15" x14ac:dyDescent="0.25"/>
    <row r="3596" ht="15" x14ac:dyDescent="0.25"/>
    <row r="3597" ht="15" x14ac:dyDescent="0.25"/>
    <row r="3598" ht="15" x14ac:dyDescent="0.25"/>
    <row r="3599" ht="15" x14ac:dyDescent="0.25"/>
    <row r="3600" ht="15" x14ac:dyDescent="0.25"/>
    <row r="3601" ht="15" x14ac:dyDescent="0.25"/>
    <row r="3602" ht="15" x14ac:dyDescent="0.25"/>
    <row r="3603" ht="15" x14ac:dyDescent="0.25"/>
    <row r="3604" ht="15" x14ac:dyDescent="0.25"/>
    <row r="3605" ht="15" x14ac:dyDescent="0.25"/>
    <row r="3606" ht="15" x14ac:dyDescent="0.25"/>
    <row r="3607" ht="15" x14ac:dyDescent="0.25"/>
    <row r="3608" ht="15" x14ac:dyDescent="0.25"/>
    <row r="3609" ht="15" x14ac:dyDescent="0.25"/>
    <row r="3610" ht="15" x14ac:dyDescent="0.25"/>
    <row r="3611" ht="15" x14ac:dyDescent="0.25"/>
    <row r="3612" ht="15" x14ac:dyDescent="0.25"/>
    <row r="3613" ht="15" x14ac:dyDescent="0.25"/>
    <row r="3614" ht="15" x14ac:dyDescent="0.25"/>
    <row r="3615" ht="15" x14ac:dyDescent="0.25"/>
    <row r="3616" ht="15" x14ac:dyDescent="0.25"/>
    <row r="3617" ht="15" x14ac:dyDescent="0.25"/>
    <row r="3618" ht="15" x14ac:dyDescent="0.25"/>
    <row r="3619" ht="15" x14ac:dyDescent="0.25"/>
    <row r="3620" ht="15" x14ac:dyDescent="0.25"/>
    <row r="3621" ht="15" x14ac:dyDescent="0.25"/>
    <row r="3622" ht="15" x14ac:dyDescent="0.25"/>
    <row r="3623" ht="15" x14ac:dyDescent="0.25"/>
    <row r="3624" ht="15" x14ac:dyDescent="0.25"/>
    <row r="3625" ht="15" x14ac:dyDescent="0.25"/>
    <row r="3626" ht="15" x14ac:dyDescent="0.25"/>
    <row r="3627" ht="15" x14ac:dyDescent="0.25"/>
    <row r="3628" ht="15" x14ac:dyDescent="0.25"/>
    <row r="3629" ht="15" x14ac:dyDescent="0.25"/>
    <row r="3630" ht="15" x14ac:dyDescent="0.25"/>
    <row r="3631" ht="15" x14ac:dyDescent="0.25"/>
    <row r="3632" ht="15" x14ac:dyDescent="0.25"/>
    <row r="3633" ht="15" x14ac:dyDescent="0.25"/>
    <row r="3634" ht="15" x14ac:dyDescent="0.25"/>
    <row r="3635" ht="15" x14ac:dyDescent="0.25"/>
    <row r="3636" ht="15" x14ac:dyDescent="0.25"/>
    <row r="3637" ht="15" x14ac:dyDescent="0.25"/>
    <row r="3638" ht="15" x14ac:dyDescent="0.25"/>
    <row r="3639" ht="15" x14ac:dyDescent="0.25"/>
    <row r="3640" ht="15" x14ac:dyDescent="0.25"/>
    <row r="3641" ht="15" x14ac:dyDescent="0.25"/>
    <row r="3642" ht="15" x14ac:dyDescent="0.25"/>
    <row r="3643" ht="15" x14ac:dyDescent="0.25"/>
    <row r="3644" ht="15" x14ac:dyDescent="0.25"/>
    <row r="3645" ht="15" x14ac:dyDescent="0.25"/>
    <row r="3646" ht="15" x14ac:dyDescent="0.25"/>
    <row r="3647" ht="15" x14ac:dyDescent="0.25"/>
    <row r="3648" ht="15" x14ac:dyDescent="0.25"/>
    <row r="3649" ht="15" x14ac:dyDescent="0.25"/>
    <row r="3650" ht="15" x14ac:dyDescent="0.25"/>
    <row r="3651" ht="15" x14ac:dyDescent="0.25"/>
    <row r="3652" ht="15" x14ac:dyDescent="0.25"/>
    <row r="3653" ht="15" x14ac:dyDescent="0.25"/>
    <row r="3654" ht="15" x14ac:dyDescent="0.25"/>
    <row r="3655" ht="15" x14ac:dyDescent="0.25"/>
    <row r="3656" ht="15" x14ac:dyDescent="0.25"/>
    <row r="3657" ht="15" x14ac:dyDescent="0.25"/>
    <row r="3658" ht="15" x14ac:dyDescent="0.25"/>
    <row r="3659" ht="15" x14ac:dyDescent="0.25"/>
    <row r="3660" ht="15" x14ac:dyDescent="0.25"/>
    <row r="3661" ht="15" x14ac:dyDescent="0.25"/>
    <row r="3662" ht="15" x14ac:dyDescent="0.25"/>
    <row r="3663" ht="15" x14ac:dyDescent="0.25"/>
    <row r="3664" ht="15" x14ac:dyDescent="0.25"/>
    <row r="3665" ht="15" x14ac:dyDescent="0.25"/>
    <row r="3666" ht="15" x14ac:dyDescent="0.25"/>
    <row r="3667" ht="15" x14ac:dyDescent="0.25"/>
    <row r="3668" ht="15" x14ac:dyDescent="0.25"/>
    <row r="3669" ht="15" x14ac:dyDescent="0.25"/>
    <row r="3670" ht="15" x14ac:dyDescent="0.25"/>
    <row r="3671" ht="15" x14ac:dyDescent="0.25"/>
    <row r="3672" ht="15" x14ac:dyDescent="0.25"/>
    <row r="3673" ht="15" x14ac:dyDescent="0.25"/>
    <row r="3674" ht="15" x14ac:dyDescent="0.25"/>
    <row r="3675" ht="15" x14ac:dyDescent="0.25"/>
    <row r="3676" ht="15" x14ac:dyDescent="0.25"/>
    <row r="3677" ht="15" x14ac:dyDescent="0.25"/>
    <row r="3678" ht="15" x14ac:dyDescent="0.25"/>
    <row r="3679" ht="15" x14ac:dyDescent="0.25"/>
    <row r="3680" ht="15" x14ac:dyDescent="0.25"/>
    <row r="3681" ht="15" x14ac:dyDescent="0.25"/>
    <row r="3682" ht="15" x14ac:dyDescent="0.25"/>
    <row r="3683" ht="15" x14ac:dyDescent="0.25"/>
    <row r="3684" ht="15" x14ac:dyDescent="0.25"/>
    <row r="3685" ht="15" x14ac:dyDescent="0.25"/>
    <row r="3686" ht="15" x14ac:dyDescent="0.25"/>
    <row r="3687" ht="15" x14ac:dyDescent="0.25"/>
    <row r="3688" ht="15" x14ac:dyDescent="0.25"/>
    <row r="3689" ht="15" x14ac:dyDescent="0.25"/>
    <row r="3690" ht="15" x14ac:dyDescent="0.25"/>
    <row r="3691" ht="15" x14ac:dyDescent="0.25"/>
    <row r="3692" ht="15" x14ac:dyDescent="0.25"/>
    <row r="3693" ht="15" x14ac:dyDescent="0.25"/>
    <row r="3694" ht="15" x14ac:dyDescent="0.25"/>
    <row r="3695" ht="15" x14ac:dyDescent="0.25"/>
    <row r="3696" ht="15" x14ac:dyDescent="0.25"/>
    <row r="3697" ht="15" x14ac:dyDescent="0.25"/>
    <row r="3698" ht="15" x14ac:dyDescent="0.25"/>
    <row r="3699" ht="15" x14ac:dyDescent="0.25"/>
    <row r="3700" ht="15" x14ac:dyDescent="0.25"/>
    <row r="3701" ht="15" x14ac:dyDescent="0.25"/>
    <row r="3702" ht="15" x14ac:dyDescent="0.25"/>
    <row r="3703" ht="15" x14ac:dyDescent="0.25"/>
    <row r="3704" ht="15" x14ac:dyDescent="0.25"/>
    <row r="3705" ht="15" x14ac:dyDescent="0.25"/>
    <row r="3706" ht="15" x14ac:dyDescent="0.25"/>
    <row r="3707" ht="15" x14ac:dyDescent="0.25"/>
    <row r="3708" ht="15" x14ac:dyDescent="0.25"/>
    <row r="3709" ht="15" x14ac:dyDescent="0.25"/>
    <row r="3710" ht="15" x14ac:dyDescent="0.25"/>
    <row r="3711" ht="15" x14ac:dyDescent="0.25"/>
    <row r="3712" ht="15" x14ac:dyDescent="0.25"/>
    <row r="3713" ht="15" x14ac:dyDescent="0.25"/>
    <row r="3714" ht="15" x14ac:dyDescent="0.25"/>
    <row r="3715" ht="15" x14ac:dyDescent="0.25"/>
    <row r="3716" ht="15" x14ac:dyDescent="0.25"/>
    <row r="3717" ht="15" x14ac:dyDescent="0.25"/>
    <row r="3718" ht="15" x14ac:dyDescent="0.25"/>
    <row r="3719" ht="15" x14ac:dyDescent="0.25"/>
    <row r="3720" ht="15" x14ac:dyDescent="0.25"/>
    <row r="3721" ht="15" x14ac:dyDescent="0.25"/>
    <row r="3722" ht="15" x14ac:dyDescent="0.25"/>
    <row r="3723" ht="15" x14ac:dyDescent="0.25"/>
    <row r="3724" ht="15" x14ac:dyDescent="0.25"/>
    <row r="3725" ht="15" x14ac:dyDescent="0.25"/>
    <row r="3726" ht="15" x14ac:dyDescent="0.25"/>
    <row r="3727" ht="15" x14ac:dyDescent="0.25"/>
    <row r="3728" ht="15" x14ac:dyDescent="0.25"/>
    <row r="3729" ht="15" x14ac:dyDescent="0.25"/>
    <row r="3730" ht="15" x14ac:dyDescent="0.25"/>
    <row r="3731" ht="15" x14ac:dyDescent="0.25"/>
    <row r="3732" ht="15" x14ac:dyDescent="0.25"/>
    <row r="3733" ht="15" x14ac:dyDescent="0.25"/>
    <row r="3734" ht="15" x14ac:dyDescent="0.25"/>
    <row r="3735" ht="15" x14ac:dyDescent="0.25"/>
    <row r="3736" ht="15" x14ac:dyDescent="0.25"/>
    <row r="3737" ht="15" x14ac:dyDescent="0.25"/>
    <row r="3738" ht="15" x14ac:dyDescent="0.25"/>
    <row r="3739" ht="15" x14ac:dyDescent="0.25"/>
    <row r="3740" ht="15" x14ac:dyDescent="0.25"/>
    <row r="3741" ht="15" x14ac:dyDescent="0.25"/>
    <row r="3742" ht="15" x14ac:dyDescent="0.25"/>
    <row r="3743" ht="15" x14ac:dyDescent="0.25"/>
    <row r="3744" ht="15" x14ac:dyDescent="0.25"/>
    <row r="3745" ht="15" x14ac:dyDescent="0.25"/>
    <row r="3746" ht="15" x14ac:dyDescent="0.25"/>
    <row r="3747" ht="15" x14ac:dyDescent="0.25"/>
    <row r="3748" ht="15" x14ac:dyDescent="0.25"/>
    <row r="3749" ht="15" x14ac:dyDescent="0.25"/>
    <row r="3750" ht="15" x14ac:dyDescent="0.25"/>
    <row r="3751" ht="15" x14ac:dyDescent="0.25"/>
    <row r="3752" ht="15" x14ac:dyDescent="0.25"/>
    <row r="3753" ht="15" x14ac:dyDescent="0.25"/>
    <row r="3754" ht="15" x14ac:dyDescent="0.25"/>
    <row r="3755" ht="15" x14ac:dyDescent="0.25"/>
    <row r="3756" ht="15" x14ac:dyDescent="0.25"/>
    <row r="3757" ht="15" x14ac:dyDescent="0.25"/>
    <row r="3758" ht="15" x14ac:dyDescent="0.25"/>
    <row r="3759" ht="15" x14ac:dyDescent="0.25"/>
    <row r="3760" ht="15" x14ac:dyDescent="0.25"/>
    <row r="3761" ht="15" x14ac:dyDescent="0.25"/>
    <row r="3762" ht="15" x14ac:dyDescent="0.25"/>
    <row r="3763" ht="15" x14ac:dyDescent="0.25"/>
    <row r="3764" ht="15" x14ac:dyDescent="0.25"/>
    <row r="3765" ht="15" x14ac:dyDescent="0.25"/>
    <row r="3766" ht="15" x14ac:dyDescent="0.25"/>
    <row r="3767" ht="15" x14ac:dyDescent="0.25"/>
    <row r="3768" ht="15" x14ac:dyDescent="0.25"/>
    <row r="3769" ht="15" x14ac:dyDescent="0.25"/>
    <row r="3770" ht="15" x14ac:dyDescent="0.25"/>
    <row r="3771" ht="15" x14ac:dyDescent="0.25"/>
    <row r="3772" ht="15" x14ac:dyDescent="0.25"/>
    <row r="3773" ht="15" x14ac:dyDescent="0.25"/>
    <row r="3774" ht="15" x14ac:dyDescent="0.25"/>
    <row r="3775" ht="15" x14ac:dyDescent="0.25"/>
    <row r="3776" ht="15" x14ac:dyDescent="0.25"/>
    <row r="3777" ht="15" x14ac:dyDescent="0.25"/>
    <row r="3778" ht="15" x14ac:dyDescent="0.25"/>
    <row r="3779" ht="15" x14ac:dyDescent="0.25"/>
    <row r="3780" ht="15" x14ac:dyDescent="0.25"/>
    <row r="3781" ht="15" x14ac:dyDescent="0.25"/>
    <row r="3782" ht="15" x14ac:dyDescent="0.25"/>
    <row r="3783" ht="15" x14ac:dyDescent="0.25"/>
    <row r="3784" ht="15" x14ac:dyDescent="0.25"/>
    <row r="3785" ht="15" x14ac:dyDescent="0.25"/>
    <row r="3786" ht="15" x14ac:dyDescent="0.25"/>
    <row r="3787" ht="15" x14ac:dyDescent="0.25"/>
    <row r="3788" ht="15" x14ac:dyDescent="0.25"/>
    <row r="3789" ht="15" x14ac:dyDescent="0.25"/>
    <row r="3790" ht="15" x14ac:dyDescent="0.25"/>
    <row r="3791" ht="15" x14ac:dyDescent="0.25"/>
    <row r="3792" ht="15" x14ac:dyDescent="0.25"/>
    <row r="3793" ht="15" x14ac:dyDescent="0.25"/>
    <row r="3794" ht="15" x14ac:dyDescent="0.25"/>
    <row r="3795" ht="15" x14ac:dyDescent="0.25"/>
    <row r="3796" ht="15" x14ac:dyDescent="0.25"/>
    <row r="3797" ht="15" x14ac:dyDescent="0.25"/>
    <row r="3798" ht="15" x14ac:dyDescent="0.25"/>
    <row r="3799" ht="15" x14ac:dyDescent="0.25"/>
    <row r="3800" ht="15" x14ac:dyDescent="0.25"/>
    <row r="3801" ht="15" x14ac:dyDescent="0.25"/>
    <row r="3802" ht="15" x14ac:dyDescent="0.25"/>
    <row r="3803" ht="15" x14ac:dyDescent="0.25"/>
    <row r="3804" ht="15" x14ac:dyDescent="0.25"/>
    <row r="3805" ht="15" x14ac:dyDescent="0.25"/>
    <row r="3806" ht="15" x14ac:dyDescent="0.25"/>
    <row r="3807" ht="15" x14ac:dyDescent="0.25"/>
    <row r="3808" ht="15" x14ac:dyDescent="0.25"/>
    <row r="3809" ht="15" x14ac:dyDescent="0.25"/>
    <row r="3810" ht="15" x14ac:dyDescent="0.25"/>
    <row r="3811" ht="15" x14ac:dyDescent="0.25"/>
    <row r="3812" ht="15" x14ac:dyDescent="0.25"/>
    <row r="3813" ht="15" x14ac:dyDescent="0.25"/>
    <row r="3814" ht="15" x14ac:dyDescent="0.25"/>
    <row r="3815" ht="15" x14ac:dyDescent="0.25"/>
    <row r="3816" ht="15" x14ac:dyDescent="0.25"/>
    <row r="3817" ht="15" x14ac:dyDescent="0.25"/>
    <row r="3818" ht="15" x14ac:dyDescent="0.25"/>
    <row r="3819" ht="15" x14ac:dyDescent="0.25"/>
    <row r="3820" ht="15" x14ac:dyDescent="0.25"/>
    <row r="3821" ht="15" x14ac:dyDescent="0.25"/>
    <row r="3822" ht="15" x14ac:dyDescent="0.25"/>
    <row r="3823" ht="15" x14ac:dyDescent="0.25"/>
    <row r="3824" ht="15" x14ac:dyDescent="0.25"/>
    <row r="3825" ht="15" x14ac:dyDescent="0.25"/>
    <row r="3826" ht="15" x14ac:dyDescent="0.25"/>
    <row r="3827" ht="15" x14ac:dyDescent="0.25"/>
    <row r="3828" ht="15" x14ac:dyDescent="0.25"/>
    <row r="3829" ht="15" x14ac:dyDescent="0.25"/>
    <row r="3830" ht="15" x14ac:dyDescent="0.25"/>
    <row r="3831" ht="15" x14ac:dyDescent="0.25"/>
    <row r="3832" ht="15" x14ac:dyDescent="0.25"/>
    <row r="3833" ht="15" x14ac:dyDescent="0.25"/>
    <row r="3834" ht="15" x14ac:dyDescent="0.25"/>
    <row r="3835" ht="15" x14ac:dyDescent="0.25"/>
    <row r="3836" ht="15" x14ac:dyDescent="0.25"/>
    <row r="3837" ht="15" x14ac:dyDescent="0.25"/>
    <row r="3838" ht="15" x14ac:dyDescent="0.25"/>
    <row r="3839" ht="15" x14ac:dyDescent="0.25"/>
    <row r="3840" ht="15" x14ac:dyDescent="0.25"/>
    <row r="3841" ht="15" x14ac:dyDescent="0.25"/>
    <row r="3842" ht="15" x14ac:dyDescent="0.25"/>
    <row r="3843" ht="15" x14ac:dyDescent="0.25"/>
    <row r="3844" ht="15" x14ac:dyDescent="0.25"/>
    <row r="3845" ht="15" x14ac:dyDescent="0.25"/>
    <row r="3846" ht="15" x14ac:dyDescent="0.25"/>
    <row r="3847" ht="15" x14ac:dyDescent="0.25"/>
    <row r="3848" ht="15" x14ac:dyDescent="0.25"/>
    <row r="3849" ht="15" x14ac:dyDescent="0.25"/>
    <row r="3850" ht="15" x14ac:dyDescent="0.25"/>
    <row r="3851" ht="15" x14ac:dyDescent="0.25"/>
    <row r="3852" ht="15" x14ac:dyDescent="0.25"/>
    <row r="3853" ht="15" x14ac:dyDescent="0.25"/>
    <row r="3854" ht="15" x14ac:dyDescent="0.25"/>
    <row r="3855" ht="15" x14ac:dyDescent="0.25"/>
    <row r="3856" ht="15" x14ac:dyDescent="0.25"/>
    <row r="3857" ht="15" x14ac:dyDescent="0.25"/>
    <row r="3858" ht="15" x14ac:dyDescent="0.25"/>
    <row r="3859" ht="15" x14ac:dyDescent="0.25"/>
    <row r="3860" ht="15" x14ac:dyDescent="0.25"/>
    <row r="3861" ht="15" x14ac:dyDescent="0.25"/>
    <row r="3862" ht="15" x14ac:dyDescent="0.25"/>
    <row r="3863" ht="15" x14ac:dyDescent="0.25"/>
    <row r="3864" ht="15" x14ac:dyDescent="0.25"/>
    <row r="3865" ht="15" x14ac:dyDescent="0.25"/>
    <row r="3866" ht="15" x14ac:dyDescent="0.25"/>
    <row r="3867" ht="15" x14ac:dyDescent="0.25"/>
    <row r="3868" ht="15" x14ac:dyDescent="0.25"/>
    <row r="3869" ht="15" x14ac:dyDescent="0.25"/>
    <row r="3870" ht="15" x14ac:dyDescent="0.25"/>
    <row r="3871" ht="15" x14ac:dyDescent="0.25"/>
    <row r="3872" ht="15" x14ac:dyDescent="0.25"/>
    <row r="3873" ht="15" x14ac:dyDescent="0.25"/>
    <row r="3874" ht="15" x14ac:dyDescent="0.25"/>
    <row r="3875" ht="15" x14ac:dyDescent="0.25"/>
    <row r="3876" ht="15" x14ac:dyDescent="0.25"/>
    <row r="3877" ht="15" x14ac:dyDescent="0.25"/>
    <row r="3878" ht="15" x14ac:dyDescent="0.25"/>
    <row r="3879" ht="15" x14ac:dyDescent="0.25"/>
    <row r="3880" ht="15" x14ac:dyDescent="0.25"/>
    <row r="3881" ht="15" x14ac:dyDescent="0.25"/>
    <row r="3882" ht="15" x14ac:dyDescent="0.25"/>
    <row r="3883" ht="15" x14ac:dyDescent="0.25"/>
    <row r="3884" ht="15" x14ac:dyDescent="0.25"/>
    <row r="3885" ht="15" x14ac:dyDescent="0.25"/>
    <row r="3886" ht="15" x14ac:dyDescent="0.25"/>
    <row r="3887" ht="15" x14ac:dyDescent="0.25"/>
    <row r="3888" ht="15" x14ac:dyDescent="0.25"/>
    <row r="3889" ht="15" x14ac:dyDescent="0.25"/>
    <row r="3890" ht="15" x14ac:dyDescent="0.25"/>
    <row r="3891" ht="15" x14ac:dyDescent="0.25"/>
    <row r="3892" ht="15" x14ac:dyDescent="0.25"/>
    <row r="3893" ht="15" x14ac:dyDescent="0.25"/>
    <row r="3894" ht="15" x14ac:dyDescent="0.25"/>
    <row r="3895" ht="15" x14ac:dyDescent="0.25"/>
    <row r="3896" ht="15" x14ac:dyDescent="0.25"/>
    <row r="3897" ht="15" x14ac:dyDescent="0.25"/>
    <row r="3898" ht="15" x14ac:dyDescent="0.25"/>
    <row r="3899" ht="15" x14ac:dyDescent="0.25"/>
    <row r="3900" ht="15" x14ac:dyDescent="0.25"/>
    <row r="3901" ht="15" x14ac:dyDescent="0.25"/>
    <row r="3902" ht="15" x14ac:dyDescent="0.25"/>
    <row r="3903" ht="15" x14ac:dyDescent="0.25"/>
    <row r="3904" ht="15" x14ac:dyDescent="0.25"/>
    <row r="3905" ht="15" x14ac:dyDescent="0.25"/>
    <row r="3906" ht="15" x14ac:dyDescent="0.25"/>
    <row r="3907" ht="15" x14ac:dyDescent="0.25"/>
    <row r="3908" ht="15" x14ac:dyDescent="0.25"/>
    <row r="3909" ht="15" x14ac:dyDescent="0.25"/>
    <row r="3910" ht="15" x14ac:dyDescent="0.25"/>
    <row r="3911" ht="15" x14ac:dyDescent="0.25"/>
    <row r="3912" ht="15" x14ac:dyDescent="0.25"/>
    <row r="3913" ht="15" x14ac:dyDescent="0.25"/>
    <row r="3914" ht="15" x14ac:dyDescent="0.25"/>
    <row r="3915" ht="15" x14ac:dyDescent="0.25"/>
    <row r="3916" ht="15" x14ac:dyDescent="0.25"/>
    <row r="3917" ht="15" x14ac:dyDescent="0.25"/>
    <row r="3918" ht="15" x14ac:dyDescent="0.25"/>
    <row r="3919" ht="15" x14ac:dyDescent="0.25"/>
    <row r="3920" ht="15" x14ac:dyDescent="0.25"/>
    <row r="3921" ht="15" x14ac:dyDescent="0.25"/>
    <row r="3922" ht="15" x14ac:dyDescent="0.25"/>
    <row r="3923" ht="15" x14ac:dyDescent="0.25"/>
    <row r="3924" ht="15" x14ac:dyDescent="0.25"/>
    <row r="3925" ht="15" x14ac:dyDescent="0.25"/>
    <row r="3926" ht="15" x14ac:dyDescent="0.25"/>
    <row r="3927" ht="15" x14ac:dyDescent="0.25"/>
    <row r="3928" ht="15" x14ac:dyDescent="0.25"/>
    <row r="3929" ht="15" x14ac:dyDescent="0.25"/>
    <row r="3930" ht="15" x14ac:dyDescent="0.25"/>
    <row r="3931" ht="15" x14ac:dyDescent="0.25"/>
    <row r="3932" ht="15" x14ac:dyDescent="0.25"/>
    <row r="3933" ht="15" x14ac:dyDescent="0.25"/>
    <row r="3934" ht="15" x14ac:dyDescent="0.25"/>
    <row r="3935" ht="15" x14ac:dyDescent="0.25"/>
    <row r="3936" ht="15" x14ac:dyDescent="0.25"/>
    <row r="3937" ht="15" x14ac:dyDescent="0.25"/>
    <row r="3938" ht="15" x14ac:dyDescent="0.25"/>
    <row r="3939" ht="15" x14ac:dyDescent="0.25"/>
    <row r="3940" ht="15" x14ac:dyDescent="0.25"/>
    <row r="3941" ht="15" x14ac:dyDescent="0.25"/>
    <row r="3942" ht="15" x14ac:dyDescent="0.25"/>
    <row r="3943" ht="15" x14ac:dyDescent="0.25"/>
    <row r="3944" ht="15" x14ac:dyDescent="0.25"/>
    <row r="3945" ht="15" x14ac:dyDescent="0.25"/>
    <row r="3946" ht="15" x14ac:dyDescent="0.25"/>
    <row r="3947" ht="15" x14ac:dyDescent="0.25"/>
    <row r="3948" ht="15" x14ac:dyDescent="0.25"/>
    <row r="3949" ht="15" x14ac:dyDescent="0.25"/>
    <row r="3950" ht="15" x14ac:dyDescent="0.25"/>
    <row r="3951" ht="15" x14ac:dyDescent="0.25"/>
    <row r="3952" ht="15" x14ac:dyDescent="0.25"/>
    <row r="3953" ht="15" x14ac:dyDescent="0.25"/>
    <row r="3954" ht="15" x14ac:dyDescent="0.25"/>
    <row r="3955" ht="15" x14ac:dyDescent="0.25"/>
    <row r="3956" ht="15" x14ac:dyDescent="0.25"/>
    <row r="3957" ht="15" x14ac:dyDescent="0.25"/>
    <row r="3958" ht="15" x14ac:dyDescent="0.25"/>
    <row r="3959" ht="15" x14ac:dyDescent="0.25"/>
    <row r="3960" ht="15" x14ac:dyDescent="0.25"/>
    <row r="3961" ht="15" x14ac:dyDescent="0.25"/>
    <row r="3962" ht="15" x14ac:dyDescent="0.25"/>
    <row r="3963" ht="15" x14ac:dyDescent="0.25"/>
    <row r="3964" ht="15" x14ac:dyDescent="0.25"/>
    <row r="3965" ht="15" x14ac:dyDescent="0.25"/>
    <row r="3966" ht="15" x14ac:dyDescent="0.25"/>
    <row r="3967" ht="15" x14ac:dyDescent="0.25"/>
    <row r="3968" ht="15" x14ac:dyDescent="0.25"/>
    <row r="3969" ht="15" x14ac:dyDescent="0.25"/>
    <row r="3970" ht="15" x14ac:dyDescent="0.25"/>
    <row r="3971" ht="15" x14ac:dyDescent="0.25"/>
    <row r="3972" ht="15" x14ac:dyDescent="0.25"/>
    <row r="3973" ht="15" x14ac:dyDescent="0.25"/>
    <row r="3974" ht="15" x14ac:dyDescent="0.25"/>
    <row r="3975" ht="15" x14ac:dyDescent="0.25"/>
    <row r="3976" ht="15" x14ac:dyDescent="0.25"/>
    <row r="3977" ht="15" x14ac:dyDescent="0.25"/>
    <row r="3978" ht="15" x14ac:dyDescent="0.25"/>
    <row r="3979" ht="15" x14ac:dyDescent="0.25"/>
    <row r="3980" ht="15" x14ac:dyDescent="0.25"/>
    <row r="3981" ht="15" x14ac:dyDescent="0.25"/>
    <row r="3982" ht="15" x14ac:dyDescent="0.25"/>
    <row r="3983" ht="15" x14ac:dyDescent="0.25"/>
    <row r="3984" ht="15" x14ac:dyDescent="0.25"/>
    <row r="3985" ht="15" x14ac:dyDescent="0.25"/>
    <row r="3986" ht="15" x14ac:dyDescent="0.25"/>
    <row r="3987" ht="15" x14ac:dyDescent="0.25"/>
    <row r="3988" ht="15" x14ac:dyDescent="0.25"/>
    <row r="3989" ht="15" x14ac:dyDescent="0.25"/>
    <row r="3990" ht="15" x14ac:dyDescent="0.25"/>
    <row r="3991" ht="15" x14ac:dyDescent="0.25"/>
    <row r="3992" ht="15" x14ac:dyDescent="0.25"/>
    <row r="3993" ht="15" x14ac:dyDescent="0.25"/>
    <row r="3994" ht="15" x14ac:dyDescent="0.25"/>
    <row r="3995" ht="15" x14ac:dyDescent="0.25"/>
    <row r="3996" ht="15" x14ac:dyDescent="0.25"/>
    <row r="3997" ht="15" x14ac:dyDescent="0.25"/>
    <row r="3998" ht="15" x14ac:dyDescent="0.25"/>
    <row r="3999" ht="15" x14ac:dyDescent="0.25"/>
    <row r="4000" ht="15" x14ac:dyDescent="0.25"/>
    <row r="4001" ht="15" x14ac:dyDescent="0.25"/>
    <row r="4002" ht="15" x14ac:dyDescent="0.25"/>
    <row r="4003" ht="15" x14ac:dyDescent="0.25"/>
    <row r="4004" ht="15" x14ac:dyDescent="0.25"/>
    <row r="4005" ht="15" x14ac:dyDescent="0.25"/>
    <row r="4006" ht="15" x14ac:dyDescent="0.25"/>
    <row r="4007" ht="15" x14ac:dyDescent="0.25"/>
    <row r="4008" ht="15" x14ac:dyDescent="0.25"/>
    <row r="4009" ht="15" x14ac:dyDescent="0.25"/>
    <row r="4010" ht="15" x14ac:dyDescent="0.25"/>
    <row r="4011" ht="15" x14ac:dyDescent="0.25"/>
    <row r="4012" ht="15" x14ac:dyDescent="0.25"/>
    <row r="4013" ht="15" x14ac:dyDescent="0.25"/>
    <row r="4014" ht="15" x14ac:dyDescent="0.25"/>
    <row r="4015" ht="15" x14ac:dyDescent="0.25"/>
    <row r="4016" ht="15" x14ac:dyDescent="0.25"/>
    <row r="4017" ht="15" x14ac:dyDescent="0.25"/>
    <row r="4018" ht="15" x14ac:dyDescent="0.25"/>
    <row r="4019" ht="15" x14ac:dyDescent="0.25"/>
    <row r="4020" ht="15" x14ac:dyDescent="0.25"/>
    <row r="4021" ht="15" x14ac:dyDescent="0.25"/>
    <row r="4022" ht="15" x14ac:dyDescent="0.25"/>
    <row r="4023" ht="15" x14ac:dyDescent="0.25"/>
    <row r="4024" ht="15" x14ac:dyDescent="0.25"/>
    <row r="4025" ht="15" x14ac:dyDescent="0.25"/>
    <row r="4026" ht="15" x14ac:dyDescent="0.25"/>
    <row r="4027" ht="15" x14ac:dyDescent="0.25"/>
    <row r="4028" ht="15" x14ac:dyDescent="0.25"/>
    <row r="4029" ht="15" x14ac:dyDescent="0.25"/>
    <row r="4030" ht="15" x14ac:dyDescent="0.25"/>
    <row r="4031" ht="15" x14ac:dyDescent="0.25"/>
    <row r="4032" ht="15" x14ac:dyDescent="0.25"/>
    <row r="4033" ht="15" x14ac:dyDescent="0.25"/>
    <row r="4034" ht="15" x14ac:dyDescent="0.25"/>
    <row r="4035" ht="15" x14ac:dyDescent="0.25"/>
    <row r="4036" ht="15" x14ac:dyDescent="0.25"/>
    <row r="4037" ht="15" x14ac:dyDescent="0.25"/>
    <row r="4038" ht="15" x14ac:dyDescent="0.25"/>
    <row r="4039" ht="15" x14ac:dyDescent="0.25"/>
    <row r="4040" ht="15" x14ac:dyDescent="0.25"/>
    <row r="4041" ht="15" x14ac:dyDescent="0.25"/>
    <row r="4042" ht="15" x14ac:dyDescent="0.25"/>
    <row r="4043" ht="15" x14ac:dyDescent="0.25"/>
    <row r="4044" ht="15" x14ac:dyDescent="0.25"/>
    <row r="4045" ht="15" x14ac:dyDescent="0.25"/>
    <row r="4046" ht="15" x14ac:dyDescent="0.25"/>
    <row r="4047" ht="15" x14ac:dyDescent="0.25"/>
    <row r="4048" ht="15" x14ac:dyDescent="0.25"/>
    <row r="4049" ht="15" x14ac:dyDescent="0.25"/>
    <row r="4050" ht="15" x14ac:dyDescent="0.25"/>
    <row r="4051" ht="15" x14ac:dyDescent="0.25"/>
    <row r="4052" ht="15" x14ac:dyDescent="0.25"/>
    <row r="4053" ht="15" x14ac:dyDescent="0.25"/>
    <row r="4054" ht="15" x14ac:dyDescent="0.25"/>
    <row r="4055" ht="15" x14ac:dyDescent="0.25"/>
    <row r="4056" ht="15" x14ac:dyDescent="0.25"/>
    <row r="4057" ht="15" x14ac:dyDescent="0.25"/>
    <row r="4058" ht="15" x14ac:dyDescent="0.25"/>
    <row r="4059" ht="15" x14ac:dyDescent="0.25"/>
    <row r="4060" ht="15" x14ac:dyDescent="0.25"/>
    <row r="4061" ht="15" x14ac:dyDescent="0.25"/>
    <row r="4062" ht="15" x14ac:dyDescent="0.25"/>
    <row r="4063" ht="15" x14ac:dyDescent="0.25"/>
    <row r="4064" ht="15" x14ac:dyDescent="0.25"/>
    <row r="4065" ht="15" x14ac:dyDescent="0.25"/>
    <row r="4066" ht="15" x14ac:dyDescent="0.25"/>
    <row r="4067" ht="15" x14ac:dyDescent="0.25"/>
    <row r="4068" ht="15" x14ac:dyDescent="0.25"/>
    <row r="4069" ht="15" x14ac:dyDescent="0.25"/>
    <row r="4070" ht="15" x14ac:dyDescent="0.25"/>
    <row r="4071" ht="15" x14ac:dyDescent="0.25"/>
    <row r="4072" ht="15" x14ac:dyDescent="0.25"/>
    <row r="4073" ht="15" x14ac:dyDescent="0.25"/>
    <row r="4074" ht="15" x14ac:dyDescent="0.25"/>
    <row r="4075" ht="15" x14ac:dyDescent="0.25"/>
    <row r="4076" ht="15" x14ac:dyDescent="0.25"/>
    <row r="4077" ht="15" x14ac:dyDescent="0.25"/>
    <row r="4078" ht="15" x14ac:dyDescent="0.25"/>
    <row r="4079" ht="15" x14ac:dyDescent="0.25"/>
    <row r="4080" ht="15" x14ac:dyDescent="0.25"/>
    <row r="4081" ht="15" x14ac:dyDescent="0.25"/>
    <row r="4082" ht="15" x14ac:dyDescent="0.25"/>
    <row r="4083" ht="15" x14ac:dyDescent="0.25"/>
    <row r="4084" ht="15" x14ac:dyDescent="0.25"/>
    <row r="4085" ht="15" x14ac:dyDescent="0.25"/>
    <row r="4086" ht="15" x14ac:dyDescent="0.25"/>
    <row r="4087" ht="15" x14ac:dyDescent="0.25"/>
    <row r="4088" ht="15" x14ac:dyDescent="0.25"/>
    <row r="4089" ht="15" x14ac:dyDescent="0.25"/>
    <row r="4090" ht="15" x14ac:dyDescent="0.25"/>
    <row r="4091" ht="15" x14ac:dyDescent="0.25"/>
    <row r="4092" ht="15" x14ac:dyDescent="0.25"/>
    <row r="4093" ht="15" x14ac:dyDescent="0.25"/>
    <row r="4094" ht="15" x14ac:dyDescent="0.25"/>
    <row r="4095" ht="15" x14ac:dyDescent="0.25"/>
    <row r="4096" ht="15" x14ac:dyDescent="0.25"/>
    <row r="4097" ht="15" x14ac:dyDescent="0.25"/>
    <row r="4098" ht="15" x14ac:dyDescent="0.25"/>
    <row r="4099" ht="15" x14ac:dyDescent="0.25"/>
    <row r="4100" ht="15" x14ac:dyDescent="0.25"/>
    <row r="4101" ht="15" x14ac:dyDescent="0.25"/>
    <row r="4102" ht="15" x14ac:dyDescent="0.25"/>
    <row r="4103" ht="15" x14ac:dyDescent="0.25"/>
    <row r="4104" ht="15" x14ac:dyDescent="0.25"/>
    <row r="4105" ht="15" x14ac:dyDescent="0.25"/>
    <row r="4106" ht="15" x14ac:dyDescent="0.25"/>
    <row r="4107" ht="15" x14ac:dyDescent="0.25"/>
    <row r="4108" ht="15" x14ac:dyDescent="0.25"/>
    <row r="4109" ht="15" x14ac:dyDescent="0.25"/>
    <row r="4110" ht="15" x14ac:dyDescent="0.25"/>
    <row r="4111" ht="15" x14ac:dyDescent="0.25"/>
    <row r="4112" ht="15" x14ac:dyDescent="0.25"/>
    <row r="4113" ht="15" x14ac:dyDescent="0.25"/>
    <row r="4114" ht="15" x14ac:dyDescent="0.25"/>
    <row r="4115" ht="15" x14ac:dyDescent="0.25"/>
    <row r="4116" ht="15" x14ac:dyDescent="0.25"/>
    <row r="4117" ht="15" x14ac:dyDescent="0.25"/>
    <row r="4118" ht="15" x14ac:dyDescent="0.25"/>
    <row r="4119" ht="15" x14ac:dyDescent="0.25"/>
    <row r="4120" ht="15" x14ac:dyDescent="0.25"/>
    <row r="4121" ht="15" x14ac:dyDescent="0.25"/>
    <row r="4122" ht="15" x14ac:dyDescent="0.25"/>
    <row r="4123" ht="15" x14ac:dyDescent="0.25"/>
    <row r="4124" ht="15" x14ac:dyDescent="0.25"/>
    <row r="4125" ht="15" x14ac:dyDescent="0.25"/>
    <row r="4126" ht="15" x14ac:dyDescent="0.25"/>
    <row r="4127" ht="15" x14ac:dyDescent="0.25"/>
    <row r="4128" ht="15" x14ac:dyDescent="0.25"/>
    <row r="4129" ht="15" x14ac:dyDescent="0.25"/>
    <row r="4130" ht="15" x14ac:dyDescent="0.25"/>
    <row r="4131" ht="15" x14ac:dyDescent="0.25"/>
    <row r="4132" ht="15" x14ac:dyDescent="0.25"/>
    <row r="4133" ht="15" x14ac:dyDescent="0.25"/>
    <row r="4134" ht="15" x14ac:dyDescent="0.25"/>
    <row r="4135" ht="15" x14ac:dyDescent="0.25"/>
    <row r="4136" ht="15" x14ac:dyDescent="0.25"/>
    <row r="4137" ht="15" x14ac:dyDescent="0.25"/>
    <row r="4138" ht="15" x14ac:dyDescent="0.25"/>
    <row r="4139" ht="15" x14ac:dyDescent="0.25"/>
    <row r="4140" ht="15" x14ac:dyDescent="0.25"/>
    <row r="4141" ht="15" x14ac:dyDescent="0.25"/>
    <row r="4142" ht="15" x14ac:dyDescent="0.25"/>
    <row r="4143" ht="15" x14ac:dyDescent="0.25"/>
    <row r="4144" ht="15" x14ac:dyDescent="0.25"/>
    <row r="4145" ht="15" x14ac:dyDescent="0.25"/>
    <row r="4146" ht="15" x14ac:dyDescent="0.25"/>
    <row r="4147" ht="15" x14ac:dyDescent="0.25"/>
    <row r="4148" ht="15" x14ac:dyDescent="0.25"/>
    <row r="4149" ht="15" x14ac:dyDescent="0.25"/>
    <row r="4150" ht="15" x14ac:dyDescent="0.25"/>
    <row r="4151" ht="15" x14ac:dyDescent="0.25"/>
    <row r="4152" ht="15" x14ac:dyDescent="0.25"/>
    <row r="4153" ht="15" x14ac:dyDescent="0.25"/>
    <row r="4154" ht="15" x14ac:dyDescent="0.25"/>
    <row r="4155" ht="15" x14ac:dyDescent="0.25"/>
    <row r="4156" ht="15" x14ac:dyDescent="0.25"/>
    <row r="4157" ht="15" x14ac:dyDescent="0.25"/>
    <row r="4158" ht="15" x14ac:dyDescent="0.25"/>
    <row r="4159" ht="15" x14ac:dyDescent="0.25"/>
    <row r="4160" ht="15" x14ac:dyDescent="0.25"/>
    <row r="4161" ht="15" x14ac:dyDescent="0.25"/>
    <row r="4162" ht="15" x14ac:dyDescent="0.25"/>
    <row r="4163" ht="15" x14ac:dyDescent="0.25"/>
    <row r="4164" ht="15" x14ac:dyDescent="0.25"/>
    <row r="4165" ht="15" x14ac:dyDescent="0.25"/>
    <row r="4166" ht="15" x14ac:dyDescent="0.25"/>
    <row r="4167" ht="15" x14ac:dyDescent="0.25"/>
    <row r="4168" ht="15" x14ac:dyDescent="0.25"/>
    <row r="4169" ht="15" x14ac:dyDescent="0.25"/>
    <row r="4170" ht="15" x14ac:dyDescent="0.25"/>
    <row r="4171" ht="15" x14ac:dyDescent="0.25"/>
    <row r="4172" ht="15" x14ac:dyDescent="0.25"/>
    <row r="4173" ht="15" x14ac:dyDescent="0.25"/>
    <row r="4174" ht="15" x14ac:dyDescent="0.25"/>
    <row r="4175" ht="15" x14ac:dyDescent="0.25"/>
    <row r="4176" ht="15" x14ac:dyDescent="0.25"/>
    <row r="4177" ht="15" x14ac:dyDescent="0.25"/>
    <row r="4178" ht="15" x14ac:dyDescent="0.25"/>
    <row r="4179" ht="15" x14ac:dyDescent="0.25"/>
    <row r="4180" ht="15" x14ac:dyDescent="0.25"/>
    <row r="4181" ht="15" x14ac:dyDescent="0.25"/>
    <row r="4182" ht="15" x14ac:dyDescent="0.25"/>
    <row r="4183" ht="15" x14ac:dyDescent="0.25"/>
    <row r="4184" ht="15" x14ac:dyDescent="0.25"/>
    <row r="4185" ht="15" x14ac:dyDescent="0.25"/>
    <row r="4186" ht="15" x14ac:dyDescent="0.25"/>
    <row r="4187" ht="15" x14ac:dyDescent="0.25"/>
    <row r="4188" ht="15" x14ac:dyDescent="0.25"/>
    <row r="4189" ht="15" x14ac:dyDescent="0.25"/>
    <row r="4190" ht="15" x14ac:dyDescent="0.25"/>
    <row r="4191" ht="15" x14ac:dyDescent="0.25"/>
    <row r="4192" ht="15" x14ac:dyDescent="0.25"/>
    <row r="4193" ht="15" x14ac:dyDescent="0.25"/>
    <row r="4194" ht="15" x14ac:dyDescent="0.25"/>
    <row r="4195" ht="15" x14ac:dyDescent="0.25"/>
    <row r="4196" ht="15" x14ac:dyDescent="0.25"/>
    <row r="4197" ht="15" x14ac:dyDescent="0.25"/>
    <row r="4198" ht="15" x14ac:dyDescent="0.25"/>
    <row r="4199" ht="15" x14ac:dyDescent="0.25"/>
    <row r="4200" ht="15" x14ac:dyDescent="0.25"/>
    <row r="4201" ht="15" x14ac:dyDescent="0.25"/>
    <row r="4202" ht="15" x14ac:dyDescent="0.25"/>
    <row r="4203" ht="15" x14ac:dyDescent="0.25"/>
    <row r="4204" ht="15" x14ac:dyDescent="0.25"/>
    <row r="4205" ht="15" x14ac:dyDescent="0.25"/>
    <row r="4206" ht="15" x14ac:dyDescent="0.25"/>
    <row r="4207" ht="15" x14ac:dyDescent="0.25"/>
    <row r="4208" ht="15" x14ac:dyDescent="0.25"/>
    <row r="4209" ht="15" x14ac:dyDescent="0.25"/>
    <row r="4210" ht="15" x14ac:dyDescent="0.25"/>
    <row r="4211" ht="15" x14ac:dyDescent="0.25"/>
    <row r="4212" ht="15" x14ac:dyDescent="0.25"/>
    <row r="4213" ht="15" x14ac:dyDescent="0.25"/>
    <row r="4214" ht="15" x14ac:dyDescent="0.25"/>
    <row r="4215" ht="15" x14ac:dyDescent="0.25"/>
    <row r="4216" ht="15" x14ac:dyDescent="0.25"/>
    <row r="4217" ht="15" x14ac:dyDescent="0.25"/>
    <row r="4218" ht="15" x14ac:dyDescent="0.25"/>
    <row r="4219" ht="15" x14ac:dyDescent="0.25"/>
    <row r="4220" ht="15" x14ac:dyDescent="0.25"/>
    <row r="4221" ht="15" x14ac:dyDescent="0.25"/>
    <row r="4222" ht="15" x14ac:dyDescent="0.25"/>
    <row r="4223" ht="15" x14ac:dyDescent="0.25"/>
    <row r="4224" ht="15" x14ac:dyDescent="0.25"/>
    <row r="4225" ht="15" x14ac:dyDescent="0.25"/>
    <row r="4226" ht="15" x14ac:dyDescent="0.25"/>
    <row r="4227" ht="15" x14ac:dyDescent="0.25"/>
    <row r="4228" ht="15" x14ac:dyDescent="0.25"/>
    <row r="4229" ht="15" x14ac:dyDescent="0.25"/>
    <row r="4230" ht="15" x14ac:dyDescent="0.25"/>
    <row r="4231" ht="15" x14ac:dyDescent="0.25"/>
    <row r="4232" ht="15" x14ac:dyDescent="0.25"/>
    <row r="4233" ht="15" x14ac:dyDescent="0.25"/>
    <row r="4234" ht="15" x14ac:dyDescent="0.25"/>
    <row r="4235" ht="15" x14ac:dyDescent="0.25"/>
    <row r="4236" ht="15" x14ac:dyDescent="0.25"/>
    <row r="4237" ht="15" x14ac:dyDescent="0.25"/>
    <row r="4238" ht="15" x14ac:dyDescent="0.25"/>
    <row r="4239" ht="15" x14ac:dyDescent="0.25"/>
    <row r="4240" ht="15" x14ac:dyDescent="0.25"/>
    <row r="4241" ht="15" x14ac:dyDescent="0.25"/>
    <row r="4242" ht="15" x14ac:dyDescent="0.25"/>
    <row r="4243" ht="15" x14ac:dyDescent="0.25"/>
    <row r="4244" ht="15" x14ac:dyDescent="0.25"/>
    <row r="4245" ht="15" x14ac:dyDescent="0.25"/>
    <row r="4246" ht="15" x14ac:dyDescent="0.25"/>
    <row r="4247" ht="15" x14ac:dyDescent="0.25"/>
    <row r="4248" ht="15" x14ac:dyDescent="0.25"/>
    <row r="4249" ht="15" x14ac:dyDescent="0.25"/>
    <row r="4250" ht="15" x14ac:dyDescent="0.25"/>
    <row r="4251" ht="15" x14ac:dyDescent="0.25"/>
    <row r="4252" ht="15" x14ac:dyDescent="0.25"/>
    <row r="4253" ht="15" x14ac:dyDescent="0.25"/>
    <row r="4254" ht="15" x14ac:dyDescent="0.25"/>
    <row r="4255" ht="15" x14ac:dyDescent="0.25"/>
    <row r="4256" ht="15" x14ac:dyDescent="0.25"/>
    <row r="4257" ht="15" x14ac:dyDescent="0.25"/>
    <row r="4258" ht="15" x14ac:dyDescent="0.25"/>
    <row r="4259" ht="15" x14ac:dyDescent="0.25"/>
    <row r="4260" ht="15" x14ac:dyDescent="0.25"/>
    <row r="4261" ht="15" x14ac:dyDescent="0.25"/>
    <row r="4262" ht="15" x14ac:dyDescent="0.25"/>
    <row r="4263" ht="15" x14ac:dyDescent="0.25"/>
    <row r="4264" ht="15" x14ac:dyDescent="0.25"/>
    <row r="4265" ht="15" x14ac:dyDescent="0.25"/>
    <row r="4266" ht="15" x14ac:dyDescent="0.25"/>
    <row r="4267" ht="15" x14ac:dyDescent="0.25"/>
    <row r="4268" ht="15" x14ac:dyDescent="0.25"/>
    <row r="4269" ht="15" x14ac:dyDescent="0.25"/>
    <row r="4270" ht="15" x14ac:dyDescent="0.25"/>
    <row r="4271" ht="15" x14ac:dyDescent="0.25"/>
    <row r="4272" ht="15" x14ac:dyDescent="0.25"/>
    <row r="4273" ht="15" x14ac:dyDescent="0.25"/>
    <row r="4274" ht="15" x14ac:dyDescent="0.25"/>
    <row r="4275" ht="15" x14ac:dyDescent="0.25"/>
    <row r="4276" ht="15" x14ac:dyDescent="0.25"/>
    <row r="4277" ht="15" x14ac:dyDescent="0.25"/>
    <row r="4278" ht="15" x14ac:dyDescent="0.25"/>
    <row r="4279" ht="15" x14ac:dyDescent="0.25"/>
    <row r="4280" ht="15" x14ac:dyDescent="0.25"/>
    <row r="4281" ht="15" x14ac:dyDescent="0.25"/>
    <row r="4282" ht="15" x14ac:dyDescent="0.25"/>
    <row r="4283" ht="15" x14ac:dyDescent="0.25"/>
    <row r="4284" ht="15" x14ac:dyDescent="0.25"/>
    <row r="4285" ht="15" x14ac:dyDescent="0.25"/>
    <row r="4286" ht="15" x14ac:dyDescent="0.25"/>
    <row r="4287" ht="15" x14ac:dyDescent="0.25"/>
    <row r="4288" ht="15" x14ac:dyDescent="0.25"/>
    <row r="4289" ht="15" x14ac:dyDescent="0.25"/>
    <row r="4290" ht="15" x14ac:dyDescent="0.25"/>
    <row r="4291" ht="15" x14ac:dyDescent="0.25"/>
    <row r="4292" ht="15" x14ac:dyDescent="0.25"/>
    <row r="4293" ht="15" x14ac:dyDescent="0.25"/>
    <row r="4294" ht="15" x14ac:dyDescent="0.25"/>
    <row r="4295" ht="15" x14ac:dyDescent="0.25"/>
    <row r="4296" ht="15" x14ac:dyDescent="0.25"/>
    <row r="4297" ht="15" x14ac:dyDescent="0.25"/>
    <row r="4298" ht="15" x14ac:dyDescent="0.25"/>
    <row r="4299" ht="15" x14ac:dyDescent="0.25"/>
    <row r="4300" ht="15" x14ac:dyDescent="0.25"/>
    <row r="4301" ht="15" x14ac:dyDescent="0.25"/>
    <row r="4302" ht="15" x14ac:dyDescent="0.25"/>
    <row r="4303" ht="15" x14ac:dyDescent="0.25"/>
    <row r="4304" ht="15" x14ac:dyDescent="0.25"/>
    <row r="4305" ht="15" x14ac:dyDescent="0.25"/>
    <row r="4306" ht="15" x14ac:dyDescent="0.25"/>
    <row r="4307" ht="15" x14ac:dyDescent="0.25"/>
    <row r="4308" ht="15" x14ac:dyDescent="0.25"/>
    <row r="4309" ht="15" x14ac:dyDescent="0.25"/>
    <row r="4310" ht="15" x14ac:dyDescent="0.25"/>
    <row r="4311" ht="15" x14ac:dyDescent="0.25"/>
    <row r="4312" ht="15" x14ac:dyDescent="0.25"/>
    <row r="4313" ht="15" x14ac:dyDescent="0.25"/>
    <row r="4314" ht="15" x14ac:dyDescent="0.25"/>
    <row r="4315" ht="15" x14ac:dyDescent="0.25"/>
    <row r="4316" ht="15" x14ac:dyDescent="0.25"/>
    <row r="4317" ht="15" x14ac:dyDescent="0.25"/>
    <row r="4318" ht="15" x14ac:dyDescent="0.25"/>
    <row r="4319" ht="15" x14ac:dyDescent="0.25"/>
    <row r="4320" ht="15" x14ac:dyDescent="0.25"/>
    <row r="4321" ht="15" x14ac:dyDescent="0.25"/>
    <row r="4322" ht="15" x14ac:dyDescent="0.25"/>
    <row r="4323" ht="15" x14ac:dyDescent="0.25"/>
    <row r="4324" ht="15" x14ac:dyDescent="0.25"/>
    <row r="4325" ht="15" x14ac:dyDescent="0.25"/>
    <row r="4326" ht="15" x14ac:dyDescent="0.25"/>
    <row r="4327" ht="15" x14ac:dyDescent="0.25"/>
    <row r="4328" ht="15" x14ac:dyDescent="0.25"/>
    <row r="4329" ht="15" x14ac:dyDescent="0.25"/>
    <row r="4330" ht="15" x14ac:dyDescent="0.25"/>
    <row r="4331" ht="15" x14ac:dyDescent="0.25"/>
    <row r="4332" ht="15" x14ac:dyDescent="0.25"/>
    <row r="4333" ht="15" x14ac:dyDescent="0.25"/>
    <row r="4334" ht="15" x14ac:dyDescent="0.25"/>
    <row r="4335" ht="15" x14ac:dyDescent="0.25"/>
    <row r="4336" ht="15" x14ac:dyDescent="0.25"/>
    <row r="4337" ht="15" x14ac:dyDescent="0.25"/>
    <row r="4338" ht="15" x14ac:dyDescent="0.25"/>
    <row r="4339" ht="15" x14ac:dyDescent="0.25"/>
    <row r="4340" ht="15" x14ac:dyDescent="0.25"/>
    <row r="4341" ht="15" x14ac:dyDescent="0.25"/>
    <row r="4342" ht="15" x14ac:dyDescent="0.25"/>
    <row r="4343" ht="15" x14ac:dyDescent="0.25"/>
    <row r="4344" ht="15" x14ac:dyDescent="0.25"/>
    <row r="4345" ht="15" x14ac:dyDescent="0.25"/>
    <row r="4346" ht="15" x14ac:dyDescent="0.25"/>
    <row r="4347" ht="15" x14ac:dyDescent="0.25"/>
    <row r="4348" ht="15" x14ac:dyDescent="0.25"/>
    <row r="4349" ht="15" x14ac:dyDescent="0.25"/>
    <row r="4350" ht="15" x14ac:dyDescent="0.25"/>
    <row r="4351" ht="15" x14ac:dyDescent="0.25"/>
    <row r="4352" ht="15" x14ac:dyDescent="0.25"/>
    <row r="4353" ht="15" x14ac:dyDescent="0.25"/>
    <row r="4354" ht="15" x14ac:dyDescent="0.25"/>
    <row r="4355" ht="15" x14ac:dyDescent="0.25"/>
    <row r="4356" ht="15" x14ac:dyDescent="0.25"/>
    <row r="4357" ht="15" x14ac:dyDescent="0.25"/>
    <row r="4358" ht="15" x14ac:dyDescent="0.25"/>
    <row r="4359" ht="15" x14ac:dyDescent="0.25"/>
    <row r="4360" ht="15" x14ac:dyDescent="0.25"/>
    <row r="4361" ht="15" x14ac:dyDescent="0.25"/>
    <row r="4362" ht="15" x14ac:dyDescent="0.25"/>
    <row r="4363" ht="15" x14ac:dyDescent="0.25"/>
    <row r="4364" ht="15" x14ac:dyDescent="0.25"/>
    <row r="4365" ht="15" x14ac:dyDescent="0.25"/>
    <row r="4366" ht="15" x14ac:dyDescent="0.25"/>
    <row r="4367" ht="15" x14ac:dyDescent="0.25"/>
    <row r="4368" ht="15" x14ac:dyDescent="0.25"/>
    <row r="4369" ht="15" x14ac:dyDescent="0.25"/>
    <row r="4370" ht="15" x14ac:dyDescent="0.25"/>
    <row r="4371" ht="15" x14ac:dyDescent="0.25"/>
    <row r="4372" ht="15" x14ac:dyDescent="0.25"/>
    <row r="4373" ht="15" x14ac:dyDescent="0.25"/>
    <row r="4374" ht="15" x14ac:dyDescent="0.25"/>
    <row r="4375" ht="15" x14ac:dyDescent="0.25"/>
    <row r="4376" ht="15" x14ac:dyDescent="0.25"/>
    <row r="4377" ht="15" x14ac:dyDescent="0.25"/>
    <row r="4378" ht="15" x14ac:dyDescent="0.25"/>
    <row r="4379" ht="15" x14ac:dyDescent="0.25"/>
    <row r="4380" ht="15" x14ac:dyDescent="0.25"/>
    <row r="4381" ht="15" x14ac:dyDescent="0.25"/>
    <row r="4382" ht="15" x14ac:dyDescent="0.25"/>
    <row r="4383" ht="15" x14ac:dyDescent="0.25"/>
    <row r="4384" ht="15" x14ac:dyDescent="0.25"/>
    <row r="4385" ht="15" x14ac:dyDescent="0.25"/>
    <row r="4386" ht="15" x14ac:dyDescent="0.25"/>
    <row r="4387" ht="15" x14ac:dyDescent="0.25"/>
    <row r="4388" ht="15" x14ac:dyDescent="0.25"/>
    <row r="4389" ht="15" x14ac:dyDescent="0.25"/>
    <row r="4390" ht="15" x14ac:dyDescent="0.25"/>
    <row r="4391" ht="15" x14ac:dyDescent="0.25"/>
    <row r="4392" ht="15" x14ac:dyDescent="0.25"/>
    <row r="4393" ht="15" x14ac:dyDescent="0.25"/>
    <row r="4394" ht="15" x14ac:dyDescent="0.25"/>
    <row r="4395" ht="15" x14ac:dyDescent="0.25"/>
    <row r="4396" ht="15" x14ac:dyDescent="0.25"/>
    <row r="4397" ht="15" x14ac:dyDescent="0.25"/>
    <row r="4398" ht="15" x14ac:dyDescent="0.25"/>
    <row r="4399" ht="15" x14ac:dyDescent="0.25"/>
    <row r="4400" ht="15" x14ac:dyDescent="0.25"/>
    <row r="4401" ht="15" x14ac:dyDescent="0.25"/>
    <row r="4402" ht="15" x14ac:dyDescent="0.25"/>
    <row r="4403" ht="15" x14ac:dyDescent="0.25"/>
    <row r="4404" ht="15" x14ac:dyDescent="0.25"/>
    <row r="4405" ht="15" x14ac:dyDescent="0.25"/>
    <row r="4406" ht="15" x14ac:dyDescent="0.25"/>
    <row r="4407" ht="15" x14ac:dyDescent="0.25"/>
    <row r="4408" ht="15" x14ac:dyDescent="0.25"/>
    <row r="4409" ht="15" x14ac:dyDescent="0.25"/>
    <row r="4410" ht="15" x14ac:dyDescent="0.25"/>
    <row r="4411" ht="15" x14ac:dyDescent="0.25"/>
    <row r="4412" ht="15" x14ac:dyDescent="0.25"/>
    <row r="4413" ht="15" x14ac:dyDescent="0.25"/>
    <row r="4414" ht="15" x14ac:dyDescent="0.25"/>
    <row r="4415" ht="15" x14ac:dyDescent="0.25"/>
    <row r="4416" ht="15" x14ac:dyDescent="0.25"/>
    <row r="4417" ht="15" x14ac:dyDescent="0.25"/>
    <row r="4418" ht="15" x14ac:dyDescent="0.25"/>
    <row r="4419" ht="15" x14ac:dyDescent="0.25"/>
    <row r="4420" ht="15" x14ac:dyDescent="0.25"/>
    <row r="4421" ht="15" x14ac:dyDescent="0.25"/>
    <row r="4422" ht="15" x14ac:dyDescent="0.25"/>
    <row r="4423" ht="15" x14ac:dyDescent="0.25"/>
    <row r="4424" ht="15" x14ac:dyDescent="0.25"/>
    <row r="4425" ht="15" x14ac:dyDescent="0.25"/>
    <row r="4426" ht="15" x14ac:dyDescent="0.25"/>
    <row r="4427" ht="15" x14ac:dyDescent="0.25"/>
    <row r="4428" ht="15" x14ac:dyDescent="0.25"/>
    <row r="4429" ht="15" x14ac:dyDescent="0.25"/>
    <row r="4430" ht="15" x14ac:dyDescent="0.25"/>
    <row r="4431" ht="15" x14ac:dyDescent="0.25"/>
    <row r="4432" ht="15" x14ac:dyDescent="0.25"/>
    <row r="4433" ht="15" x14ac:dyDescent="0.25"/>
    <row r="4434" ht="15" x14ac:dyDescent="0.25"/>
    <row r="4435" ht="15" x14ac:dyDescent="0.25"/>
    <row r="4436" ht="15" x14ac:dyDescent="0.25"/>
    <row r="4437" ht="15" x14ac:dyDescent="0.25"/>
    <row r="4438" ht="15" x14ac:dyDescent="0.25"/>
    <row r="4439" ht="15" x14ac:dyDescent="0.25"/>
    <row r="4440" ht="15" x14ac:dyDescent="0.25"/>
    <row r="4441" ht="15" x14ac:dyDescent="0.25"/>
    <row r="4442" ht="15" x14ac:dyDescent="0.25"/>
    <row r="4443" ht="15" x14ac:dyDescent="0.25"/>
    <row r="4444" ht="15" x14ac:dyDescent="0.25"/>
    <row r="4445" ht="15" x14ac:dyDescent="0.25"/>
    <row r="4446" ht="15" x14ac:dyDescent="0.25"/>
    <row r="4447" ht="15" x14ac:dyDescent="0.25"/>
    <row r="4448" ht="15" x14ac:dyDescent="0.25"/>
    <row r="4449" ht="15" x14ac:dyDescent="0.25"/>
    <row r="4450" ht="15" x14ac:dyDescent="0.25"/>
    <row r="4451" ht="15" x14ac:dyDescent="0.25"/>
    <row r="4452" ht="15" x14ac:dyDescent="0.25"/>
    <row r="4453" ht="15" x14ac:dyDescent="0.25"/>
    <row r="4454" ht="15" x14ac:dyDescent="0.25"/>
    <row r="4455" ht="15" x14ac:dyDescent="0.25"/>
    <row r="4456" ht="15" x14ac:dyDescent="0.25"/>
    <row r="4457" ht="15" x14ac:dyDescent="0.25"/>
    <row r="4458" ht="15" x14ac:dyDescent="0.25"/>
    <row r="4459" ht="15" x14ac:dyDescent="0.25"/>
    <row r="4460" ht="15" x14ac:dyDescent="0.25"/>
    <row r="4461" ht="15" x14ac:dyDescent="0.25"/>
    <row r="4462" ht="15" x14ac:dyDescent="0.25"/>
    <row r="4463" ht="15" x14ac:dyDescent="0.25"/>
    <row r="4464" ht="15" x14ac:dyDescent="0.25"/>
    <row r="4465" ht="15" x14ac:dyDescent="0.25"/>
    <row r="4466" ht="15" x14ac:dyDescent="0.25"/>
    <row r="4467" ht="15" x14ac:dyDescent="0.25"/>
    <row r="4468" ht="15" x14ac:dyDescent="0.25"/>
    <row r="4469" ht="15" x14ac:dyDescent="0.25"/>
    <row r="4470" ht="15" x14ac:dyDescent="0.25"/>
    <row r="4471" ht="15" x14ac:dyDescent="0.25"/>
    <row r="4472" ht="15" x14ac:dyDescent="0.25"/>
    <row r="4473" ht="15" x14ac:dyDescent="0.25"/>
    <row r="4474" ht="15" x14ac:dyDescent="0.25"/>
    <row r="4475" ht="15" x14ac:dyDescent="0.25"/>
    <row r="4476" ht="15" x14ac:dyDescent="0.25"/>
    <row r="4477" ht="15" x14ac:dyDescent="0.25"/>
    <row r="4478" ht="15" x14ac:dyDescent="0.25"/>
    <row r="4479" ht="15" x14ac:dyDescent="0.25"/>
    <row r="4480" ht="15" x14ac:dyDescent="0.25"/>
    <row r="4481" ht="15" x14ac:dyDescent="0.25"/>
    <row r="4482" ht="15" x14ac:dyDescent="0.25"/>
    <row r="4483" ht="15" x14ac:dyDescent="0.25"/>
    <row r="4484" ht="15" x14ac:dyDescent="0.25"/>
    <row r="4485" ht="15" x14ac:dyDescent="0.25"/>
    <row r="4486" ht="15" x14ac:dyDescent="0.25"/>
    <row r="4487" ht="15" x14ac:dyDescent="0.25"/>
    <row r="4488" ht="15" x14ac:dyDescent="0.25"/>
    <row r="4489" ht="15" x14ac:dyDescent="0.25"/>
    <row r="4490" ht="15" x14ac:dyDescent="0.25"/>
    <row r="4491" ht="15" x14ac:dyDescent="0.25"/>
    <row r="4492" ht="15" x14ac:dyDescent="0.25"/>
    <row r="4493" ht="15" x14ac:dyDescent="0.25"/>
    <row r="4494" ht="15" x14ac:dyDescent="0.25"/>
    <row r="4495" ht="15" x14ac:dyDescent="0.25"/>
    <row r="4496" ht="15" x14ac:dyDescent="0.25"/>
    <row r="4497" ht="15" x14ac:dyDescent="0.25"/>
    <row r="4498" ht="15" x14ac:dyDescent="0.25"/>
    <row r="4499" ht="15" x14ac:dyDescent="0.25"/>
    <row r="4500" ht="15" x14ac:dyDescent="0.25"/>
    <row r="4501" ht="15" x14ac:dyDescent="0.25"/>
    <row r="4502" ht="15" x14ac:dyDescent="0.25"/>
    <row r="4503" ht="15" x14ac:dyDescent="0.25"/>
    <row r="4504" ht="15" x14ac:dyDescent="0.25"/>
    <row r="4505" ht="15" x14ac:dyDescent="0.25"/>
    <row r="4506" ht="15" x14ac:dyDescent="0.25"/>
    <row r="4507" ht="15" x14ac:dyDescent="0.25"/>
    <row r="4508" ht="15" x14ac:dyDescent="0.25"/>
    <row r="4509" ht="15" x14ac:dyDescent="0.25"/>
    <row r="4510" ht="15" x14ac:dyDescent="0.25"/>
    <row r="4511" ht="15" x14ac:dyDescent="0.25"/>
    <row r="4512" ht="15" x14ac:dyDescent="0.25"/>
    <row r="4513" ht="15" x14ac:dyDescent="0.25"/>
    <row r="4514" ht="15" x14ac:dyDescent="0.25"/>
    <row r="4515" ht="15" x14ac:dyDescent="0.25"/>
    <row r="4516" ht="15" x14ac:dyDescent="0.25"/>
    <row r="4517" ht="15" x14ac:dyDescent="0.25"/>
    <row r="4518" ht="15" x14ac:dyDescent="0.25"/>
    <row r="4519" ht="15" x14ac:dyDescent="0.25"/>
    <row r="4520" ht="15" x14ac:dyDescent="0.25"/>
    <row r="4521" ht="15" x14ac:dyDescent="0.25"/>
    <row r="4522" ht="15" x14ac:dyDescent="0.25"/>
    <row r="4523" ht="15" x14ac:dyDescent="0.25"/>
    <row r="4524" ht="15" x14ac:dyDescent="0.25"/>
    <row r="4525" ht="15" x14ac:dyDescent="0.25"/>
    <row r="4526" ht="15" x14ac:dyDescent="0.25"/>
    <row r="4527" ht="15" x14ac:dyDescent="0.25"/>
    <row r="4528" ht="15" x14ac:dyDescent="0.25"/>
    <row r="4529" ht="15" x14ac:dyDescent="0.25"/>
    <row r="4530" ht="15" x14ac:dyDescent="0.25"/>
    <row r="4531" ht="15" x14ac:dyDescent="0.25"/>
    <row r="4532" ht="15" x14ac:dyDescent="0.25"/>
    <row r="4533" ht="15" x14ac:dyDescent="0.25"/>
    <row r="4534" ht="15" x14ac:dyDescent="0.25"/>
    <row r="4535" ht="15" x14ac:dyDescent="0.25"/>
    <row r="4536" ht="15" x14ac:dyDescent="0.25"/>
    <row r="4537" ht="15" x14ac:dyDescent="0.25"/>
    <row r="4538" ht="15" x14ac:dyDescent="0.25"/>
    <row r="4539" ht="15" x14ac:dyDescent="0.25"/>
    <row r="4540" ht="15" x14ac:dyDescent="0.25"/>
    <row r="4541" ht="15" x14ac:dyDescent="0.25"/>
    <row r="4542" ht="15" x14ac:dyDescent="0.25"/>
    <row r="4543" ht="15" x14ac:dyDescent="0.25"/>
    <row r="4544" ht="15" x14ac:dyDescent="0.25"/>
    <row r="4545" ht="15" x14ac:dyDescent="0.25"/>
    <row r="4546" ht="15" x14ac:dyDescent="0.25"/>
    <row r="4547" ht="15" x14ac:dyDescent="0.25"/>
    <row r="4548" ht="15" x14ac:dyDescent="0.25"/>
    <row r="4549" ht="15" x14ac:dyDescent="0.25"/>
    <row r="4550" ht="15" x14ac:dyDescent="0.25"/>
    <row r="4551" ht="15" x14ac:dyDescent="0.25"/>
    <row r="4552" ht="15" x14ac:dyDescent="0.25"/>
    <row r="4553" ht="15" x14ac:dyDescent="0.25"/>
    <row r="4554" ht="15" x14ac:dyDescent="0.25"/>
    <row r="4555" ht="15" x14ac:dyDescent="0.25"/>
    <row r="4556" ht="15" x14ac:dyDescent="0.25"/>
    <row r="4557" ht="15" x14ac:dyDescent="0.25"/>
    <row r="4558" ht="15" x14ac:dyDescent="0.25"/>
    <row r="4559" ht="15" x14ac:dyDescent="0.25"/>
    <row r="4560" ht="15" x14ac:dyDescent="0.25"/>
    <row r="4561" ht="15" x14ac:dyDescent="0.25"/>
    <row r="4562" ht="15" x14ac:dyDescent="0.25"/>
    <row r="4563" ht="15" x14ac:dyDescent="0.25"/>
    <row r="4564" ht="15" x14ac:dyDescent="0.25"/>
    <row r="4565" ht="15" x14ac:dyDescent="0.25"/>
    <row r="4566" ht="15" x14ac:dyDescent="0.25"/>
    <row r="4567" ht="15" x14ac:dyDescent="0.25"/>
    <row r="4568" ht="15" x14ac:dyDescent="0.25"/>
    <row r="4569" ht="15" x14ac:dyDescent="0.25"/>
    <row r="4570" ht="15" x14ac:dyDescent="0.25"/>
    <row r="4571" ht="15" x14ac:dyDescent="0.25"/>
    <row r="4572" ht="15" x14ac:dyDescent="0.25"/>
    <row r="4573" ht="15" x14ac:dyDescent="0.25"/>
    <row r="4574" ht="15" x14ac:dyDescent="0.25"/>
    <row r="4575" ht="15" x14ac:dyDescent="0.25"/>
    <row r="4576" ht="15" x14ac:dyDescent="0.25"/>
    <row r="4577" ht="15" x14ac:dyDescent="0.25"/>
    <row r="4578" ht="15" x14ac:dyDescent="0.25"/>
    <row r="4579" ht="15" x14ac:dyDescent="0.25"/>
    <row r="4580" ht="15" x14ac:dyDescent="0.25"/>
    <row r="4581" ht="15" x14ac:dyDescent="0.25"/>
    <row r="4582" ht="15" x14ac:dyDescent="0.25"/>
    <row r="4583" ht="15" x14ac:dyDescent="0.25"/>
    <row r="4584" ht="15" x14ac:dyDescent="0.25"/>
    <row r="4585" ht="15" x14ac:dyDescent="0.25"/>
    <row r="4586" ht="15" x14ac:dyDescent="0.25"/>
    <row r="4587" ht="15" x14ac:dyDescent="0.25"/>
    <row r="4588" ht="15" x14ac:dyDescent="0.25"/>
    <row r="4589" ht="15" x14ac:dyDescent="0.25"/>
    <row r="4590" ht="15" x14ac:dyDescent="0.25"/>
    <row r="4591" ht="15" x14ac:dyDescent="0.25"/>
    <row r="4592" ht="15" x14ac:dyDescent="0.25"/>
    <row r="4593" ht="15" x14ac:dyDescent="0.25"/>
    <row r="4594" ht="15" x14ac:dyDescent="0.25"/>
    <row r="4595" ht="15" x14ac:dyDescent="0.25"/>
    <row r="4596" ht="15" x14ac:dyDescent="0.25"/>
    <row r="4597" ht="15" x14ac:dyDescent="0.25"/>
    <row r="4598" ht="15" x14ac:dyDescent="0.25"/>
    <row r="4599" ht="15" x14ac:dyDescent="0.25"/>
    <row r="4600" ht="15" x14ac:dyDescent="0.25"/>
    <row r="4601" ht="15" x14ac:dyDescent="0.25"/>
    <row r="4602" ht="15" x14ac:dyDescent="0.25"/>
    <row r="4603" ht="15" x14ac:dyDescent="0.25"/>
    <row r="4604" ht="15" x14ac:dyDescent="0.25"/>
    <row r="4605" ht="15" x14ac:dyDescent="0.25"/>
    <row r="4606" ht="15" x14ac:dyDescent="0.25"/>
    <row r="4607" ht="15" x14ac:dyDescent="0.25"/>
    <row r="4608" ht="15" x14ac:dyDescent="0.25"/>
    <row r="4609" ht="15" x14ac:dyDescent="0.25"/>
    <row r="4610" ht="15" x14ac:dyDescent="0.25"/>
    <row r="4611" ht="15" x14ac:dyDescent="0.25"/>
    <row r="4612" ht="15" x14ac:dyDescent="0.25"/>
    <row r="4613" ht="15" x14ac:dyDescent="0.25"/>
    <row r="4614" ht="15" x14ac:dyDescent="0.25"/>
    <row r="4615" ht="15" x14ac:dyDescent="0.25"/>
    <row r="4616" ht="15" x14ac:dyDescent="0.25"/>
    <row r="4617" ht="15" x14ac:dyDescent="0.25"/>
    <row r="4618" ht="15" x14ac:dyDescent="0.25"/>
    <row r="4619" ht="15" x14ac:dyDescent="0.25"/>
    <row r="4620" ht="15" x14ac:dyDescent="0.25"/>
    <row r="4621" ht="15" x14ac:dyDescent="0.25"/>
    <row r="4622" ht="15" x14ac:dyDescent="0.25"/>
    <row r="4623" ht="15" x14ac:dyDescent="0.25"/>
    <row r="4624" ht="15" x14ac:dyDescent="0.25"/>
    <row r="4625" ht="15" x14ac:dyDescent="0.25"/>
    <row r="4626" ht="15" x14ac:dyDescent="0.25"/>
    <row r="4627" ht="15" x14ac:dyDescent="0.25"/>
    <row r="4628" ht="15" x14ac:dyDescent="0.25"/>
    <row r="4629" ht="15" x14ac:dyDescent="0.25"/>
    <row r="4630" ht="15" x14ac:dyDescent="0.25"/>
    <row r="4631" ht="15" x14ac:dyDescent="0.25"/>
    <row r="4632" ht="15" x14ac:dyDescent="0.25"/>
    <row r="4633" ht="15" x14ac:dyDescent="0.25"/>
    <row r="4634" ht="15" x14ac:dyDescent="0.25"/>
    <row r="4635" ht="15" x14ac:dyDescent="0.25"/>
    <row r="4636" ht="15" x14ac:dyDescent="0.25"/>
    <row r="4637" ht="15" x14ac:dyDescent="0.25"/>
    <row r="4638" ht="15" x14ac:dyDescent="0.25"/>
    <row r="4639" ht="15" x14ac:dyDescent="0.25"/>
    <row r="4640" ht="15" x14ac:dyDescent="0.25"/>
    <row r="4641" ht="15" x14ac:dyDescent="0.25"/>
    <row r="4642" ht="15" x14ac:dyDescent="0.25"/>
    <row r="4643" ht="15" x14ac:dyDescent="0.25"/>
    <row r="4644" ht="15" x14ac:dyDescent="0.25"/>
    <row r="4645" ht="15" x14ac:dyDescent="0.25"/>
    <row r="4646" ht="15" x14ac:dyDescent="0.25"/>
    <row r="4647" ht="15" x14ac:dyDescent="0.25"/>
    <row r="4648" ht="15" x14ac:dyDescent="0.25"/>
    <row r="4649" ht="15" x14ac:dyDescent="0.25"/>
    <row r="4650" ht="15" x14ac:dyDescent="0.25"/>
    <row r="4651" ht="15" x14ac:dyDescent="0.25"/>
    <row r="4652" ht="15" x14ac:dyDescent="0.25"/>
    <row r="4653" ht="15" x14ac:dyDescent="0.25"/>
    <row r="4654" ht="15" x14ac:dyDescent="0.25"/>
    <row r="4655" ht="15" x14ac:dyDescent="0.25"/>
    <row r="4656" ht="15" x14ac:dyDescent="0.25"/>
    <row r="4657" ht="15" x14ac:dyDescent="0.25"/>
    <row r="4658" ht="15" x14ac:dyDescent="0.25"/>
    <row r="4659" ht="15" x14ac:dyDescent="0.25"/>
    <row r="4660" ht="15" x14ac:dyDescent="0.25"/>
    <row r="4661" ht="15" x14ac:dyDescent="0.25"/>
    <row r="4662" ht="15" x14ac:dyDescent="0.25"/>
    <row r="4663" ht="15" x14ac:dyDescent="0.25"/>
    <row r="4664" ht="15" x14ac:dyDescent="0.25"/>
    <row r="4665" ht="15" x14ac:dyDescent="0.25"/>
    <row r="4666" ht="15" x14ac:dyDescent="0.25"/>
    <row r="4667" ht="15" x14ac:dyDescent="0.25"/>
    <row r="4668" ht="15" x14ac:dyDescent="0.25"/>
    <row r="4669" ht="15" x14ac:dyDescent="0.25"/>
    <row r="4670" ht="15" x14ac:dyDescent="0.25"/>
    <row r="4671" ht="15" x14ac:dyDescent="0.25"/>
    <row r="4672" ht="15" x14ac:dyDescent="0.25"/>
    <row r="4673" ht="15" x14ac:dyDescent="0.25"/>
    <row r="4674" ht="15" x14ac:dyDescent="0.25"/>
    <row r="4675" ht="15" x14ac:dyDescent="0.25"/>
    <row r="4676" ht="15" x14ac:dyDescent="0.25"/>
    <row r="4677" ht="15" x14ac:dyDescent="0.25"/>
    <row r="4678" ht="15" x14ac:dyDescent="0.25"/>
    <row r="4679" ht="15" x14ac:dyDescent="0.25"/>
    <row r="4680" ht="15" x14ac:dyDescent="0.25"/>
    <row r="4681" ht="15" x14ac:dyDescent="0.25"/>
    <row r="4682" ht="15" x14ac:dyDescent="0.25"/>
    <row r="4683" ht="15" x14ac:dyDescent="0.25"/>
    <row r="4684" ht="15" x14ac:dyDescent="0.25"/>
    <row r="4685" ht="15" x14ac:dyDescent="0.25"/>
    <row r="4686" ht="15" x14ac:dyDescent="0.25"/>
    <row r="4687" ht="15" x14ac:dyDescent="0.25"/>
    <row r="4688" ht="15" x14ac:dyDescent="0.25"/>
    <row r="4689" ht="15" x14ac:dyDescent="0.25"/>
    <row r="4690" ht="15" x14ac:dyDescent="0.25"/>
    <row r="4691" ht="15" x14ac:dyDescent="0.25"/>
    <row r="4692" ht="15" x14ac:dyDescent="0.25"/>
    <row r="4693" ht="15" x14ac:dyDescent="0.25"/>
    <row r="4694" ht="15" x14ac:dyDescent="0.25"/>
    <row r="4695" ht="15" x14ac:dyDescent="0.25"/>
    <row r="4696" ht="15" x14ac:dyDescent="0.25"/>
    <row r="4697" ht="15" x14ac:dyDescent="0.25"/>
    <row r="4698" ht="15" x14ac:dyDescent="0.25"/>
    <row r="4699" ht="15" x14ac:dyDescent="0.25"/>
    <row r="4700" ht="15" x14ac:dyDescent="0.25"/>
    <row r="4701" ht="15" x14ac:dyDescent="0.25"/>
    <row r="4702" ht="15" x14ac:dyDescent="0.25"/>
    <row r="4703" ht="15" x14ac:dyDescent="0.25"/>
    <row r="4704" ht="15" x14ac:dyDescent="0.25"/>
    <row r="4705" ht="15" x14ac:dyDescent="0.25"/>
    <row r="4706" ht="15" x14ac:dyDescent="0.25"/>
    <row r="4707" ht="15" x14ac:dyDescent="0.25"/>
    <row r="4708" ht="15" x14ac:dyDescent="0.25"/>
    <row r="4709" ht="15" x14ac:dyDescent="0.25"/>
    <row r="4710" ht="15" x14ac:dyDescent="0.25"/>
    <row r="4711" ht="15" x14ac:dyDescent="0.25"/>
    <row r="4712" ht="15" x14ac:dyDescent="0.25"/>
    <row r="4713" ht="15" x14ac:dyDescent="0.25"/>
    <row r="4714" ht="15" x14ac:dyDescent="0.25"/>
    <row r="4715" ht="15" x14ac:dyDescent="0.25"/>
    <row r="4716" ht="15" x14ac:dyDescent="0.25"/>
    <row r="4717" ht="15" x14ac:dyDescent="0.25"/>
    <row r="4718" ht="15" x14ac:dyDescent="0.25"/>
    <row r="4719" ht="15" x14ac:dyDescent="0.25"/>
    <row r="4720" ht="15" x14ac:dyDescent="0.25"/>
    <row r="4721" ht="15" x14ac:dyDescent="0.25"/>
    <row r="4722" ht="15" x14ac:dyDescent="0.25"/>
    <row r="4723" ht="15" x14ac:dyDescent="0.25"/>
    <row r="4724" ht="15" x14ac:dyDescent="0.25"/>
    <row r="4725" ht="15" x14ac:dyDescent="0.25"/>
    <row r="4726" ht="15" x14ac:dyDescent="0.25"/>
    <row r="4727" ht="15" x14ac:dyDescent="0.25"/>
    <row r="4728" ht="15" x14ac:dyDescent="0.25"/>
    <row r="4729" ht="15" x14ac:dyDescent="0.25"/>
    <row r="4730" ht="15" x14ac:dyDescent="0.25"/>
    <row r="4731" ht="15" x14ac:dyDescent="0.25"/>
    <row r="4732" ht="15" x14ac:dyDescent="0.25"/>
    <row r="4733" ht="15" x14ac:dyDescent="0.25"/>
    <row r="4734" ht="15" x14ac:dyDescent="0.25"/>
    <row r="4735" ht="15" x14ac:dyDescent="0.25"/>
    <row r="4736" ht="15" x14ac:dyDescent="0.25"/>
    <row r="4737" ht="15" x14ac:dyDescent="0.25"/>
    <row r="4738" ht="15" x14ac:dyDescent="0.25"/>
    <row r="4739" ht="15" x14ac:dyDescent="0.25"/>
    <row r="4740" ht="15" x14ac:dyDescent="0.25"/>
    <row r="4741" ht="15" x14ac:dyDescent="0.25"/>
    <row r="4742" ht="15" x14ac:dyDescent="0.25"/>
    <row r="4743" ht="15" x14ac:dyDescent="0.25"/>
    <row r="4744" ht="15" x14ac:dyDescent="0.25"/>
    <row r="4745" ht="15" x14ac:dyDescent="0.25"/>
    <row r="4746" ht="15" x14ac:dyDescent="0.25"/>
    <row r="4747" ht="15" x14ac:dyDescent="0.25"/>
    <row r="4748" ht="15" x14ac:dyDescent="0.25"/>
    <row r="4749" ht="15" x14ac:dyDescent="0.25"/>
    <row r="4750" ht="15" x14ac:dyDescent="0.25"/>
    <row r="4751" ht="15" x14ac:dyDescent="0.25"/>
    <row r="4752" ht="15" x14ac:dyDescent="0.25"/>
    <row r="4753" ht="15" x14ac:dyDescent="0.25"/>
    <row r="4754" ht="15" x14ac:dyDescent="0.25"/>
    <row r="4755" ht="15" x14ac:dyDescent="0.25"/>
    <row r="4756" ht="15" x14ac:dyDescent="0.25"/>
    <row r="4757" ht="15" x14ac:dyDescent="0.25"/>
    <row r="4758" ht="15" x14ac:dyDescent="0.25"/>
    <row r="4759" ht="15" x14ac:dyDescent="0.25"/>
    <row r="4760" ht="15" x14ac:dyDescent="0.25"/>
    <row r="4761" ht="15" x14ac:dyDescent="0.25"/>
    <row r="4762" ht="15" x14ac:dyDescent="0.25"/>
    <row r="4763" ht="15" x14ac:dyDescent="0.25"/>
    <row r="4764" ht="15" x14ac:dyDescent="0.25"/>
    <row r="4765" ht="15" x14ac:dyDescent="0.25"/>
    <row r="4766" ht="15" x14ac:dyDescent="0.25"/>
    <row r="4767" ht="15" x14ac:dyDescent="0.25"/>
    <row r="4768" ht="15" x14ac:dyDescent="0.25"/>
    <row r="4769" ht="15" x14ac:dyDescent="0.25"/>
    <row r="4770" ht="15" x14ac:dyDescent="0.25"/>
    <row r="4771" ht="15" x14ac:dyDescent="0.25"/>
    <row r="4772" ht="15" x14ac:dyDescent="0.25"/>
    <row r="4773" ht="15" x14ac:dyDescent="0.25"/>
    <row r="4774" ht="15" x14ac:dyDescent="0.25"/>
    <row r="4775" ht="15" x14ac:dyDescent="0.25"/>
    <row r="4776" ht="15" x14ac:dyDescent="0.25"/>
    <row r="4777" ht="15" x14ac:dyDescent="0.25"/>
    <row r="4778" ht="15" x14ac:dyDescent="0.25"/>
    <row r="4779" ht="15" x14ac:dyDescent="0.25"/>
    <row r="4780" ht="15" x14ac:dyDescent="0.25"/>
    <row r="4781" ht="15" x14ac:dyDescent="0.25"/>
    <row r="4782" ht="15" x14ac:dyDescent="0.25"/>
    <row r="4783" ht="15" x14ac:dyDescent="0.25"/>
    <row r="4784" ht="15" x14ac:dyDescent="0.25"/>
    <row r="4785" ht="15" x14ac:dyDescent="0.25"/>
    <row r="4786" ht="15" x14ac:dyDescent="0.25"/>
    <row r="4787" ht="15" x14ac:dyDescent="0.25"/>
    <row r="4788" ht="15" x14ac:dyDescent="0.25"/>
    <row r="4789" ht="15" x14ac:dyDescent="0.25"/>
    <row r="4790" ht="15" x14ac:dyDescent="0.25"/>
    <row r="4791" ht="15" x14ac:dyDescent="0.25"/>
    <row r="4792" ht="15" x14ac:dyDescent="0.25"/>
    <row r="4793" ht="15" x14ac:dyDescent="0.25"/>
    <row r="4794" ht="15" x14ac:dyDescent="0.25"/>
    <row r="4795" ht="15" x14ac:dyDescent="0.25"/>
    <row r="4796" ht="15" x14ac:dyDescent="0.25"/>
    <row r="4797" ht="15" x14ac:dyDescent="0.25"/>
    <row r="4798" ht="15" x14ac:dyDescent="0.25"/>
    <row r="4799" ht="15" x14ac:dyDescent="0.25"/>
    <row r="4800" ht="15" x14ac:dyDescent="0.25"/>
    <row r="4801" ht="15" x14ac:dyDescent="0.25"/>
    <row r="4802" ht="15" x14ac:dyDescent="0.25"/>
    <row r="4803" ht="15" x14ac:dyDescent="0.25"/>
    <row r="4804" ht="15" x14ac:dyDescent="0.25"/>
    <row r="4805" ht="15" x14ac:dyDescent="0.25"/>
    <row r="4806" ht="15" x14ac:dyDescent="0.25"/>
    <row r="4807" ht="15" x14ac:dyDescent="0.25"/>
    <row r="4808" ht="15" x14ac:dyDescent="0.25"/>
    <row r="4809" ht="15" x14ac:dyDescent="0.25"/>
    <row r="4810" ht="15" x14ac:dyDescent="0.25"/>
    <row r="4811" ht="15" x14ac:dyDescent="0.25"/>
    <row r="4812" ht="15" x14ac:dyDescent="0.25"/>
    <row r="4813" ht="15" x14ac:dyDescent="0.25"/>
    <row r="4814" ht="15" x14ac:dyDescent="0.25"/>
    <row r="4815" ht="15" x14ac:dyDescent="0.25"/>
    <row r="4816" ht="15" x14ac:dyDescent="0.25"/>
    <row r="4817" ht="15" x14ac:dyDescent="0.25"/>
    <row r="4818" ht="15" x14ac:dyDescent="0.25"/>
    <row r="4819" ht="15" x14ac:dyDescent="0.25"/>
    <row r="4820" ht="15" x14ac:dyDescent="0.25"/>
    <row r="4821" ht="15" x14ac:dyDescent="0.25"/>
    <row r="4822" ht="15" x14ac:dyDescent="0.25"/>
    <row r="4823" ht="15" x14ac:dyDescent="0.25"/>
    <row r="4824" ht="15" x14ac:dyDescent="0.25"/>
    <row r="4825" ht="15" x14ac:dyDescent="0.25"/>
    <row r="4826" ht="15" x14ac:dyDescent="0.25"/>
    <row r="4827" ht="15" x14ac:dyDescent="0.25"/>
    <row r="4828" ht="15" x14ac:dyDescent="0.25"/>
    <row r="4829" ht="15" x14ac:dyDescent="0.25"/>
    <row r="4830" ht="15" x14ac:dyDescent="0.25"/>
    <row r="4831" ht="15" x14ac:dyDescent="0.25"/>
    <row r="4832" ht="15" x14ac:dyDescent="0.25"/>
    <row r="4833" ht="15" x14ac:dyDescent="0.25"/>
    <row r="4834" ht="15" x14ac:dyDescent="0.25"/>
    <row r="4835" ht="15" x14ac:dyDescent="0.25"/>
    <row r="4836" ht="15" x14ac:dyDescent="0.25"/>
    <row r="4837" ht="15" x14ac:dyDescent="0.25"/>
    <row r="4838" ht="15" x14ac:dyDescent="0.25"/>
    <row r="4839" ht="15" x14ac:dyDescent="0.25"/>
    <row r="4840" ht="15" x14ac:dyDescent="0.25"/>
    <row r="4841" ht="15" x14ac:dyDescent="0.25"/>
    <row r="4842" ht="15" x14ac:dyDescent="0.25"/>
    <row r="4843" ht="15" x14ac:dyDescent="0.25"/>
    <row r="4844" ht="15" x14ac:dyDescent="0.25"/>
    <row r="4845" ht="15" x14ac:dyDescent="0.25"/>
    <row r="4846" ht="15" x14ac:dyDescent="0.25"/>
    <row r="4847" ht="15" x14ac:dyDescent="0.25"/>
    <row r="4848" ht="15" x14ac:dyDescent="0.25"/>
    <row r="4849" ht="15" x14ac:dyDescent="0.25"/>
    <row r="4850" ht="15" x14ac:dyDescent="0.25"/>
    <row r="4851" ht="15" x14ac:dyDescent="0.25"/>
    <row r="4852" ht="15" x14ac:dyDescent="0.25"/>
    <row r="4853" ht="15" x14ac:dyDescent="0.25"/>
    <row r="4854" ht="15" x14ac:dyDescent="0.25"/>
    <row r="4855" ht="15" x14ac:dyDescent="0.25"/>
    <row r="4856" ht="15" x14ac:dyDescent="0.25"/>
    <row r="4857" ht="15" x14ac:dyDescent="0.25"/>
    <row r="4858" ht="15" x14ac:dyDescent="0.25"/>
    <row r="4859" ht="15" x14ac:dyDescent="0.25"/>
    <row r="4860" ht="15" x14ac:dyDescent="0.25"/>
    <row r="4861" ht="15" x14ac:dyDescent="0.25"/>
    <row r="4862" ht="15" x14ac:dyDescent="0.25"/>
    <row r="4863" ht="15" x14ac:dyDescent="0.25"/>
    <row r="4864" ht="15" x14ac:dyDescent="0.25"/>
    <row r="4865" ht="15" x14ac:dyDescent="0.25"/>
    <row r="4866" ht="15" x14ac:dyDescent="0.25"/>
    <row r="4867" ht="15" x14ac:dyDescent="0.25"/>
    <row r="4868" ht="15" x14ac:dyDescent="0.25"/>
    <row r="4869" ht="15" x14ac:dyDescent="0.25"/>
    <row r="4870" ht="15" x14ac:dyDescent="0.25"/>
    <row r="4871" ht="15" x14ac:dyDescent="0.25"/>
    <row r="4872" ht="15" x14ac:dyDescent="0.25"/>
    <row r="4873" ht="15" x14ac:dyDescent="0.25"/>
    <row r="4874" ht="15" x14ac:dyDescent="0.25"/>
    <row r="4875" ht="15" x14ac:dyDescent="0.25"/>
    <row r="4876" ht="15" x14ac:dyDescent="0.25"/>
    <row r="4877" ht="15" x14ac:dyDescent="0.25"/>
    <row r="4878" ht="15" x14ac:dyDescent="0.25"/>
    <row r="4879" ht="15" x14ac:dyDescent="0.25"/>
    <row r="4880" ht="15" x14ac:dyDescent="0.25"/>
    <row r="4881" ht="15" x14ac:dyDescent="0.25"/>
    <row r="4882" ht="15" x14ac:dyDescent="0.25"/>
    <row r="4883" ht="15" x14ac:dyDescent="0.25"/>
    <row r="4884" ht="15" x14ac:dyDescent="0.25"/>
    <row r="4885" ht="15" x14ac:dyDescent="0.25"/>
    <row r="4886" ht="15" x14ac:dyDescent="0.25"/>
    <row r="4887" ht="15" x14ac:dyDescent="0.25"/>
    <row r="4888" ht="15" x14ac:dyDescent="0.25"/>
    <row r="4889" ht="15" x14ac:dyDescent="0.25"/>
    <row r="4890" ht="15" x14ac:dyDescent="0.25"/>
    <row r="4891" ht="15" x14ac:dyDescent="0.25"/>
    <row r="4892" ht="15" x14ac:dyDescent="0.25"/>
    <row r="4893" ht="15" x14ac:dyDescent="0.25"/>
    <row r="4894" ht="15" x14ac:dyDescent="0.25"/>
    <row r="4895" ht="15" x14ac:dyDescent="0.25"/>
    <row r="4896" ht="15" x14ac:dyDescent="0.25"/>
    <row r="4897" ht="15" x14ac:dyDescent="0.25"/>
    <row r="4898" ht="15" x14ac:dyDescent="0.25"/>
    <row r="4899" ht="15" x14ac:dyDescent="0.25"/>
    <row r="4900" ht="15" x14ac:dyDescent="0.25"/>
    <row r="4901" ht="15" x14ac:dyDescent="0.25"/>
    <row r="4902" ht="15" x14ac:dyDescent="0.25"/>
    <row r="4903" ht="15" x14ac:dyDescent="0.25"/>
    <row r="4904" ht="15" x14ac:dyDescent="0.25"/>
    <row r="4905" ht="15" x14ac:dyDescent="0.25"/>
    <row r="4906" ht="15" x14ac:dyDescent="0.25"/>
    <row r="4907" ht="15" x14ac:dyDescent="0.25"/>
    <row r="4908" ht="15" x14ac:dyDescent="0.25"/>
    <row r="4909" ht="15" x14ac:dyDescent="0.25"/>
    <row r="4910" ht="15" x14ac:dyDescent="0.25"/>
    <row r="4911" ht="15" x14ac:dyDescent="0.25"/>
    <row r="4912" ht="15" x14ac:dyDescent="0.25"/>
    <row r="4913" ht="15" x14ac:dyDescent="0.25"/>
    <row r="4914" ht="15" x14ac:dyDescent="0.25"/>
    <row r="4915" ht="15" x14ac:dyDescent="0.25"/>
    <row r="4916" ht="15" x14ac:dyDescent="0.25"/>
    <row r="4917" ht="15" x14ac:dyDescent="0.25"/>
    <row r="4918" ht="15" x14ac:dyDescent="0.25"/>
    <row r="4919" ht="15" x14ac:dyDescent="0.25"/>
    <row r="4920" ht="15" x14ac:dyDescent="0.25"/>
    <row r="4921" ht="15" x14ac:dyDescent="0.25"/>
    <row r="4922" ht="15" x14ac:dyDescent="0.25"/>
    <row r="4923" ht="15" x14ac:dyDescent="0.25"/>
    <row r="4924" ht="15" x14ac:dyDescent="0.25"/>
    <row r="4925" ht="15" x14ac:dyDescent="0.25"/>
    <row r="4926" ht="15" x14ac:dyDescent="0.25"/>
    <row r="4927" ht="15" x14ac:dyDescent="0.25"/>
    <row r="4928" ht="15" x14ac:dyDescent="0.25"/>
    <row r="4929" ht="15" x14ac:dyDescent="0.25"/>
    <row r="4930" ht="15" x14ac:dyDescent="0.25"/>
    <row r="4931" ht="15" x14ac:dyDescent="0.25"/>
    <row r="4932" ht="15" x14ac:dyDescent="0.25"/>
    <row r="4933" ht="15" x14ac:dyDescent="0.25"/>
    <row r="4934" ht="15" x14ac:dyDescent="0.25"/>
    <row r="4935" ht="15" x14ac:dyDescent="0.25"/>
    <row r="4936" ht="15" x14ac:dyDescent="0.25"/>
    <row r="4937" ht="15" x14ac:dyDescent="0.25"/>
    <row r="4938" ht="15" x14ac:dyDescent="0.25"/>
    <row r="4939" ht="15" x14ac:dyDescent="0.25"/>
    <row r="4940" ht="15" x14ac:dyDescent="0.25"/>
    <row r="4941" ht="15" x14ac:dyDescent="0.25"/>
    <row r="4942" ht="15" x14ac:dyDescent="0.25"/>
    <row r="4943" ht="15" x14ac:dyDescent="0.25"/>
    <row r="4944" ht="15" x14ac:dyDescent="0.25"/>
    <row r="4945" ht="15" x14ac:dyDescent="0.25"/>
    <row r="4946" ht="15" x14ac:dyDescent="0.25"/>
    <row r="4947" ht="15" x14ac:dyDescent="0.25"/>
    <row r="4948" ht="15" x14ac:dyDescent="0.25"/>
    <row r="4949" ht="15" x14ac:dyDescent="0.25"/>
    <row r="4950" ht="15" x14ac:dyDescent="0.25"/>
    <row r="4951" ht="15" x14ac:dyDescent="0.25"/>
    <row r="4952" ht="15" x14ac:dyDescent="0.25"/>
    <row r="4953" ht="15" x14ac:dyDescent="0.25"/>
    <row r="4954" ht="15" x14ac:dyDescent="0.25"/>
    <row r="4955" ht="15" x14ac:dyDescent="0.25"/>
    <row r="4956" ht="15" x14ac:dyDescent="0.25"/>
    <row r="4957" ht="15" x14ac:dyDescent="0.25"/>
    <row r="4958" ht="15" x14ac:dyDescent="0.25"/>
    <row r="4959" ht="15" x14ac:dyDescent="0.25"/>
    <row r="4960" ht="15" x14ac:dyDescent="0.25"/>
    <row r="4961" ht="15" x14ac:dyDescent="0.25"/>
    <row r="4962" ht="15" x14ac:dyDescent="0.25"/>
    <row r="4963" ht="15" x14ac:dyDescent="0.25"/>
    <row r="4964" ht="15" x14ac:dyDescent="0.25"/>
    <row r="4965" ht="15" x14ac:dyDescent="0.25"/>
    <row r="4966" ht="15" x14ac:dyDescent="0.25"/>
    <row r="4967" ht="15" x14ac:dyDescent="0.25"/>
    <row r="4968" ht="15" x14ac:dyDescent="0.25"/>
    <row r="4969" ht="15" x14ac:dyDescent="0.25"/>
    <row r="4970" ht="15" x14ac:dyDescent="0.25"/>
    <row r="4971" ht="15" x14ac:dyDescent="0.25"/>
    <row r="4972" ht="15" x14ac:dyDescent="0.25"/>
    <row r="4973" ht="15" x14ac:dyDescent="0.25"/>
    <row r="4974" ht="15" x14ac:dyDescent="0.25"/>
    <row r="4975" ht="15" x14ac:dyDescent="0.25"/>
    <row r="4976" ht="15" x14ac:dyDescent="0.25"/>
    <row r="4977" ht="15" x14ac:dyDescent="0.25"/>
    <row r="4978" ht="15" x14ac:dyDescent="0.25"/>
    <row r="4979" ht="15" x14ac:dyDescent="0.25"/>
    <row r="4980" ht="15" x14ac:dyDescent="0.25"/>
    <row r="4981" ht="15" x14ac:dyDescent="0.25"/>
    <row r="4982" ht="15" x14ac:dyDescent="0.25"/>
    <row r="4983" ht="15" x14ac:dyDescent="0.25"/>
    <row r="4984" ht="15" x14ac:dyDescent="0.25"/>
    <row r="4985" ht="15" x14ac:dyDescent="0.25"/>
    <row r="4986" ht="15" x14ac:dyDescent="0.25"/>
    <row r="4987" ht="15" x14ac:dyDescent="0.25"/>
    <row r="4988" ht="15" x14ac:dyDescent="0.25"/>
    <row r="4989" ht="15" x14ac:dyDescent="0.25"/>
    <row r="4990" ht="15" x14ac:dyDescent="0.25"/>
    <row r="4991" ht="15" x14ac:dyDescent="0.25"/>
    <row r="4992" ht="15" x14ac:dyDescent="0.25"/>
    <row r="4993" ht="15" x14ac:dyDescent="0.25"/>
    <row r="4994" ht="15" x14ac:dyDescent="0.25"/>
    <row r="4995" ht="15" x14ac:dyDescent="0.25"/>
    <row r="4996" ht="15" x14ac:dyDescent="0.25"/>
    <row r="4997" ht="15" x14ac:dyDescent="0.25"/>
    <row r="4998" ht="15" x14ac:dyDescent="0.25"/>
    <row r="4999" ht="15" x14ac:dyDescent="0.25"/>
    <row r="5000" ht="15" x14ac:dyDescent="0.25"/>
    <row r="5001" ht="15" x14ac:dyDescent="0.25"/>
    <row r="5002" ht="15" x14ac:dyDescent="0.25"/>
    <row r="5003" ht="15" x14ac:dyDescent="0.25"/>
    <row r="5004" ht="15" x14ac:dyDescent="0.25"/>
    <row r="5005" ht="15" x14ac:dyDescent="0.25"/>
    <row r="5006" ht="15" x14ac:dyDescent="0.25"/>
    <row r="5007" ht="15" x14ac:dyDescent="0.25"/>
    <row r="5008" ht="15" x14ac:dyDescent="0.25"/>
    <row r="5009" ht="15" x14ac:dyDescent="0.25"/>
    <row r="5010" ht="15" x14ac:dyDescent="0.25"/>
    <row r="5011" ht="15" x14ac:dyDescent="0.25"/>
    <row r="5012" ht="15" x14ac:dyDescent="0.25"/>
    <row r="5013" ht="15" x14ac:dyDescent="0.25"/>
    <row r="5014" ht="15" x14ac:dyDescent="0.25"/>
    <row r="5015" ht="15" x14ac:dyDescent="0.25"/>
    <row r="5016" ht="15" x14ac:dyDescent="0.25"/>
    <row r="5017" ht="15" x14ac:dyDescent="0.25"/>
    <row r="5018" ht="15" x14ac:dyDescent="0.25"/>
    <row r="5019" ht="15" x14ac:dyDescent="0.25"/>
    <row r="5020" ht="15" x14ac:dyDescent="0.25"/>
    <row r="5021" ht="15" x14ac:dyDescent="0.25"/>
    <row r="5022" ht="15" x14ac:dyDescent="0.25"/>
    <row r="5023" ht="15" x14ac:dyDescent="0.25"/>
    <row r="5024" ht="15" x14ac:dyDescent="0.25"/>
    <row r="5025" ht="15" x14ac:dyDescent="0.25"/>
    <row r="5026" ht="15" x14ac:dyDescent="0.25"/>
    <row r="5027" ht="15" x14ac:dyDescent="0.25"/>
    <row r="5028" ht="15" x14ac:dyDescent="0.25"/>
    <row r="5029" ht="15" x14ac:dyDescent="0.25"/>
    <row r="5030" ht="15" x14ac:dyDescent="0.25"/>
    <row r="5031" ht="15" x14ac:dyDescent="0.25"/>
    <row r="5032" ht="15" x14ac:dyDescent="0.25"/>
    <row r="5033" ht="15" x14ac:dyDescent="0.25"/>
    <row r="5034" ht="15" x14ac:dyDescent="0.25"/>
    <row r="5035" ht="15" x14ac:dyDescent="0.25"/>
    <row r="5036" ht="15" x14ac:dyDescent="0.25"/>
    <row r="5037" ht="15" x14ac:dyDescent="0.25"/>
    <row r="5038" ht="15" x14ac:dyDescent="0.25"/>
    <row r="5039" ht="15" x14ac:dyDescent="0.25"/>
    <row r="5040" ht="15" x14ac:dyDescent="0.25"/>
    <row r="5041" ht="15" x14ac:dyDescent="0.25"/>
    <row r="5042" ht="15" x14ac:dyDescent="0.25"/>
    <row r="5043" ht="15" x14ac:dyDescent="0.25"/>
    <row r="5044" ht="15" x14ac:dyDescent="0.25"/>
    <row r="5045" ht="15" x14ac:dyDescent="0.25"/>
    <row r="5046" ht="15" x14ac:dyDescent="0.25"/>
    <row r="5047" ht="15" x14ac:dyDescent="0.25"/>
    <row r="5048" ht="15" x14ac:dyDescent="0.25"/>
    <row r="5049" ht="15" x14ac:dyDescent="0.25"/>
    <row r="5050" ht="15" x14ac:dyDescent="0.25"/>
    <row r="5051" ht="15" x14ac:dyDescent="0.25"/>
    <row r="5052" ht="15" x14ac:dyDescent="0.25"/>
    <row r="5053" ht="15" x14ac:dyDescent="0.25"/>
    <row r="5054" ht="15" x14ac:dyDescent="0.25"/>
    <row r="5055" ht="15" x14ac:dyDescent="0.25"/>
    <row r="5056" ht="15" x14ac:dyDescent="0.25"/>
    <row r="5057" ht="15" x14ac:dyDescent="0.25"/>
    <row r="5058" ht="15" x14ac:dyDescent="0.25"/>
    <row r="5059" ht="15" x14ac:dyDescent="0.25"/>
    <row r="5060" ht="15" x14ac:dyDescent="0.25"/>
    <row r="5061" ht="15" x14ac:dyDescent="0.25"/>
    <row r="5062" ht="15" x14ac:dyDescent="0.25"/>
    <row r="5063" ht="15" x14ac:dyDescent="0.25"/>
    <row r="5064" ht="15" x14ac:dyDescent="0.25"/>
    <row r="5065" ht="15" x14ac:dyDescent="0.25"/>
    <row r="5066" ht="15" x14ac:dyDescent="0.25"/>
    <row r="5067" ht="15" x14ac:dyDescent="0.25"/>
    <row r="5068" ht="15" x14ac:dyDescent="0.25"/>
    <row r="5069" ht="15" x14ac:dyDescent="0.25"/>
    <row r="5070" ht="15" x14ac:dyDescent="0.25"/>
    <row r="5071" ht="15" x14ac:dyDescent="0.25"/>
    <row r="5072" ht="15" x14ac:dyDescent="0.25"/>
    <row r="5073" ht="15" x14ac:dyDescent="0.25"/>
    <row r="5074" ht="15" x14ac:dyDescent="0.25"/>
    <row r="5075" ht="15" x14ac:dyDescent="0.25"/>
    <row r="5076" ht="15" x14ac:dyDescent="0.25"/>
    <row r="5077" ht="15" x14ac:dyDescent="0.25"/>
    <row r="5078" ht="15" x14ac:dyDescent="0.25"/>
    <row r="5079" ht="15" x14ac:dyDescent="0.25"/>
    <row r="5080" ht="15" x14ac:dyDescent="0.25"/>
    <row r="5081" ht="15" x14ac:dyDescent="0.25"/>
    <row r="5082" ht="15" x14ac:dyDescent="0.25"/>
    <row r="5083" ht="15" x14ac:dyDescent="0.25"/>
    <row r="5084" ht="15" x14ac:dyDescent="0.25"/>
    <row r="5085" ht="15" x14ac:dyDescent="0.25"/>
    <row r="5086" ht="15" x14ac:dyDescent="0.25"/>
    <row r="5087" ht="15" x14ac:dyDescent="0.25"/>
    <row r="5088" ht="15" x14ac:dyDescent="0.25"/>
    <row r="5089" ht="15" x14ac:dyDescent="0.25"/>
    <row r="5090" ht="15" x14ac:dyDescent="0.25"/>
    <row r="5091" ht="15" x14ac:dyDescent="0.25"/>
    <row r="5092" ht="15" x14ac:dyDescent="0.25"/>
    <row r="5093" ht="15" x14ac:dyDescent="0.25"/>
    <row r="5094" ht="15" x14ac:dyDescent="0.25"/>
    <row r="5095" ht="15" x14ac:dyDescent="0.25"/>
    <row r="5096" ht="15" x14ac:dyDescent="0.25"/>
    <row r="5097" ht="15" x14ac:dyDescent="0.25"/>
    <row r="5098" ht="15" x14ac:dyDescent="0.25"/>
    <row r="5099" ht="15" x14ac:dyDescent="0.25"/>
    <row r="5100" ht="15" x14ac:dyDescent="0.25"/>
    <row r="5101" ht="15" x14ac:dyDescent="0.25"/>
    <row r="5102" ht="15" x14ac:dyDescent="0.25"/>
    <row r="5103" ht="15" x14ac:dyDescent="0.25"/>
    <row r="5104" ht="15" x14ac:dyDescent="0.25"/>
    <row r="5105" ht="15" x14ac:dyDescent="0.25"/>
    <row r="5106" ht="15" x14ac:dyDescent="0.25"/>
    <row r="5107" ht="15" x14ac:dyDescent="0.25"/>
    <row r="5108" ht="15" x14ac:dyDescent="0.25"/>
    <row r="5109" ht="15" x14ac:dyDescent="0.25"/>
    <row r="5110" ht="15" x14ac:dyDescent="0.25"/>
    <row r="5111" ht="15" x14ac:dyDescent="0.25"/>
    <row r="5112" ht="15" x14ac:dyDescent="0.25"/>
    <row r="5113" ht="15" x14ac:dyDescent="0.25"/>
    <row r="5114" ht="15" x14ac:dyDescent="0.25"/>
    <row r="5115" ht="15" x14ac:dyDescent="0.25"/>
    <row r="5116" ht="15" x14ac:dyDescent="0.25"/>
    <row r="5117" ht="15" x14ac:dyDescent="0.25"/>
    <row r="5118" ht="15" x14ac:dyDescent="0.25"/>
    <row r="5119" ht="15" x14ac:dyDescent="0.25"/>
    <row r="5120" ht="15" x14ac:dyDescent="0.25"/>
    <row r="5121" ht="15" x14ac:dyDescent="0.25"/>
    <row r="5122" ht="15" x14ac:dyDescent="0.25"/>
    <row r="5123" ht="15" x14ac:dyDescent="0.25"/>
    <row r="5124" ht="15" x14ac:dyDescent="0.25"/>
    <row r="5125" ht="15" x14ac:dyDescent="0.25"/>
    <row r="5126" ht="15" x14ac:dyDescent="0.25"/>
    <row r="5127" ht="15" x14ac:dyDescent="0.25"/>
    <row r="5128" ht="15" x14ac:dyDescent="0.25"/>
    <row r="5129" ht="15" x14ac:dyDescent="0.25"/>
    <row r="5130" ht="15" x14ac:dyDescent="0.25"/>
    <row r="5131" ht="15" x14ac:dyDescent="0.25"/>
    <row r="5132" ht="15" x14ac:dyDescent="0.25"/>
    <row r="5133" ht="15" x14ac:dyDescent="0.25"/>
    <row r="5134" ht="15" x14ac:dyDescent="0.25"/>
    <row r="5135" ht="15" x14ac:dyDescent="0.25"/>
    <row r="5136" ht="15" x14ac:dyDescent="0.25"/>
    <row r="5137" ht="15" x14ac:dyDescent="0.25"/>
    <row r="5138" ht="15" x14ac:dyDescent="0.25"/>
    <row r="5139" ht="15" x14ac:dyDescent="0.25"/>
    <row r="5140" ht="15" x14ac:dyDescent="0.25"/>
    <row r="5141" ht="15" x14ac:dyDescent="0.25"/>
    <row r="5142" ht="15" x14ac:dyDescent="0.25"/>
    <row r="5143" ht="15" x14ac:dyDescent="0.25"/>
    <row r="5144" ht="15" x14ac:dyDescent="0.25"/>
    <row r="5145" ht="15" x14ac:dyDescent="0.25"/>
    <row r="5146" ht="15" x14ac:dyDescent="0.25"/>
    <row r="5147" ht="15" x14ac:dyDescent="0.25"/>
    <row r="5148" ht="15" x14ac:dyDescent="0.25"/>
    <row r="5149" ht="15" x14ac:dyDescent="0.25"/>
    <row r="5150" ht="15" x14ac:dyDescent="0.25"/>
    <row r="5151" ht="15" x14ac:dyDescent="0.25"/>
    <row r="5152" ht="15" x14ac:dyDescent="0.25"/>
    <row r="5153" ht="15" x14ac:dyDescent="0.25"/>
    <row r="5154" ht="15" x14ac:dyDescent="0.25"/>
    <row r="5155" ht="15" x14ac:dyDescent="0.25"/>
    <row r="5156" ht="15" x14ac:dyDescent="0.25"/>
    <row r="5157" ht="15" x14ac:dyDescent="0.25"/>
    <row r="5158" ht="15" x14ac:dyDescent="0.25"/>
    <row r="5159" ht="15" x14ac:dyDescent="0.25"/>
    <row r="5160" ht="15" x14ac:dyDescent="0.25"/>
    <row r="5161" ht="15" x14ac:dyDescent="0.25"/>
    <row r="5162" ht="15" x14ac:dyDescent="0.25"/>
    <row r="5163" ht="15" x14ac:dyDescent="0.25"/>
    <row r="5164" ht="15" x14ac:dyDescent="0.25"/>
    <row r="5165" ht="15" x14ac:dyDescent="0.25"/>
    <row r="5166" ht="15" x14ac:dyDescent="0.25"/>
    <row r="5167" ht="15" x14ac:dyDescent="0.25"/>
    <row r="5168" ht="15" x14ac:dyDescent="0.25"/>
    <row r="5169" ht="15" x14ac:dyDescent="0.25"/>
    <row r="5170" ht="15" x14ac:dyDescent="0.25"/>
    <row r="5171" ht="15" x14ac:dyDescent="0.25"/>
    <row r="5172" ht="15" x14ac:dyDescent="0.25"/>
    <row r="5173" ht="15" x14ac:dyDescent="0.25"/>
    <row r="5174" ht="15" x14ac:dyDescent="0.25"/>
    <row r="5175" ht="15" x14ac:dyDescent="0.25"/>
    <row r="5176" ht="15" x14ac:dyDescent="0.25"/>
    <row r="5177" ht="15" x14ac:dyDescent="0.25"/>
    <row r="5178" ht="15" x14ac:dyDescent="0.25"/>
    <row r="5179" ht="15" x14ac:dyDescent="0.25"/>
    <row r="5180" ht="15" x14ac:dyDescent="0.25"/>
    <row r="5181" ht="15" x14ac:dyDescent="0.25"/>
    <row r="5182" ht="15" x14ac:dyDescent="0.25"/>
    <row r="5183" ht="15" x14ac:dyDescent="0.25"/>
    <row r="5184" ht="15" x14ac:dyDescent="0.25"/>
    <row r="5185" ht="15" x14ac:dyDescent="0.25"/>
    <row r="5186" ht="15" x14ac:dyDescent="0.25"/>
    <row r="5187" ht="15" x14ac:dyDescent="0.25"/>
    <row r="5188" ht="15" x14ac:dyDescent="0.25"/>
    <row r="5189" ht="15" x14ac:dyDescent="0.25"/>
    <row r="5190" ht="15" x14ac:dyDescent="0.25"/>
    <row r="5191" ht="15" x14ac:dyDescent="0.25"/>
    <row r="5192" ht="15" x14ac:dyDescent="0.25"/>
    <row r="5193" ht="15" x14ac:dyDescent="0.25"/>
    <row r="5194" ht="15" x14ac:dyDescent="0.25"/>
    <row r="5195" ht="15" x14ac:dyDescent="0.25"/>
    <row r="5196" ht="15" x14ac:dyDescent="0.25"/>
    <row r="5197" ht="15" x14ac:dyDescent="0.25"/>
    <row r="5198" ht="15" x14ac:dyDescent="0.25"/>
    <row r="5199" ht="15" x14ac:dyDescent="0.25"/>
    <row r="5200" ht="15" x14ac:dyDescent="0.25"/>
    <row r="5201" ht="15" x14ac:dyDescent="0.25"/>
    <row r="5202" ht="15" x14ac:dyDescent="0.25"/>
    <row r="5203" ht="15" x14ac:dyDescent="0.25"/>
    <row r="5204" ht="15" x14ac:dyDescent="0.25"/>
    <row r="5205" ht="15" x14ac:dyDescent="0.25"/>
    <row r="5206" ht="15" x14ac:dyDescent="0.25"/>
    <row r="5207" ht="15" x14ac:dyDescent="0.25"/>
    <row r="5208" ht="15" x14ac:dyDescent="0.25"/>
    <row r="5209" ht="15" x14ac:dyDescent="0.25"/>
    <row r="5210" ht="15" x14ac:dyDescent="0.25"/>
    <row r="5211" ht="15" x14ac:dyDescent="0.25"/>
    <row r="5212" ht="15" x14ac:dyDescent="0.25"/>
    <row r="5213" ht="15" x14ac:dyDescent="0.25"/>
    <row r="5214" ht="15" x14ac:dyDescent="0.25"/>
    <row r="5215" ht="15" x14ac:dyDescent="0.25"/>
    <row r="5216" ht="15" x14ac:dyDescent="0.25"/>
    <row r="5217" ht="15" x14ac:dyDescent="0.25"/>
    <row r="5218" ht="15" x14ac:dyDescent="0.25"/>
    <row r="5219" ht="15" x14ac:dyDescent="0.25"/>
    <row r="5220" ht="15" x14ac:dyDescent="0.25"/>
    <row r="5221" ht="15" x14ac:dyDescent="0.25"/>
    <row r="5222" ht="15" x14ac:dyDescent="0.25"/>
    <row r="5223" ht="15" x14ac:dyDescent="0.25"/>
    <row r="5224" ht="15" x14ac:dyDescent="0.25"/>
    <row r="5225" ht="15" x14ac:dyDescent="0.25"/>
    <row r="5226" ht="15" x14ac:dyDescent="0.25"/>
    <row r="5227" ht="15" x14ac:dyDescent="0.25"/>
    <row r="5228" ht="15" x14ac:dyDescent="0.25"/>
    <row r="5229" ht="15" x14ac:dyDescent="0.25"/>
    <row r="5230" ht="15" x14ac:dyDescent="0.25"/>
    <row r="5231" ht="15" x14ac:dyDescent="0.25"/>
    <row r="5232" ht="15" x14ac:dyDescent="0.25"/>
    <row r="5233" ht="15" x14ac:dyDescent="0.25"/>
    <row r="5234" ht="15" x14ac:dyDescent="0.25"/>
    <row r="5235" ht="15" x14ac:dyDescent="0.25"/>
    <row r="5236" ht="15" x14ac:dyDescent="0.25"/>
    <row r="5237" ht="15" x14ac:dyDescent="0.25"/>
    <row r="5238" ht="15" x14ac:dyDescent="0.25"/>
    <row r="5239" ht="15" x14ac:dyDescent="0.25"/>
    <row r="5240" ht="15" x14ac:dyDescent="0.25"/>
    <row r="5241" ht="15" x14ac:dyDescent="0.25"/>
    <row r="5242" ht="15" x14ac:dyDescent="0.25"/>
    <row r="5243" ht="15" x14ac:dyDescent="0.25"/>
    <row r="5244" ht="15" x14ac:dyDescent="0.25"/>
    <row r="5245" ht="15" x14ac:dyDescent="0.25"/>
    <row r="5246" ht="15" x14ac:dyDescent="0.25"/>
    <row r="5247" ht="15" x14ac:dyDescent="0.25"/>
    <row r="5248" ht="15" x14ac:dyDescent="0.25"/>
    <row r="5249" ht="15" x14ac:dyDescent="0.25"/>
    <row r="5250" ht="15" x14ac:dyDescent="0.25"/>
    <row r="5251" ht="15" x14ac:dyDescent="0.25"/>
    <row r="5252" ht="15" x14ac:dyDescent="0.25"/>
    <row r="5253" ht="15" x14ac:dyDescent="0.25"/>
    <row r="5254" ht="15" x14ac:dyDescent="0.25"/>
    <row r="5255" ht="15" x14ac:dyDescent="0.25"/>
    <row r="5256" ht="15" x14ac:dyDescent="0.25"/>
    <row r="5257" ht="15" x14ac:dyDescent="0.25"/>
    <row r="5258" ht="15" x14ac:dyDescent="0.25"/>
    <row r="5259" ht="15" x14ac:dyDescent="0.25"/>
    <row r="5260" ht="15" x14ac:dyDescent="0.25"/>
    <row r="5261" ht="15" x14ac:dyDescent="0.25"/>
    <row r="5262" ht="15" x14ac:dyDescent="0.25"/>
    <row r="5263" ht="15" x14ac:dyDescent="0.25"/>
    <row r="5264" ht="15" x14ac:dyDescent="0.25"/>
    <row r="5265" ht="15" x14ac:dyDescent="0.25"/>
    <row r="5266" ht="15" x14ac:dyDescent="0.25"/>
    <row r="5267" ht="15" x14ac:dyDescent="0.25"/>
    <row r="5268" ht="15" x14ac:dyDescent="0.25"/>
    <row r="5269" ht="15" x14ac:dyDescent="0.25"/>
    <row r="5270" ht="15" x14ac:dyDescent="0.25"/>
    <row r="5271" ht="15" x14ac:dyDescent="0.25"/>
    <row r="5272" ht="15" x14ac:dyDescent="0.25"/>
    <row r="5273" ht="15" x14ac:dyDescent="0.25"/>
    <row r="5274" ht="15" x14ac:dyDescent="0.25"/>
    <row r="5275" ht="15" x14ac:dyDescent="0.25"/>
    <row r="5276" ht="15" x14ac:dyDescent="0.25"/>
    <row r="5277" ht="15" x14ac:dyDescent="0.25"/>
    <row r="5278" ht="15" x14ac:dyDescent="0.25"/>
    <row r="5279" ht="15" x14ac:dyDescent="0.25"/>
    <row r="5280" ht="15" x14ac:dyDescent="0.25"/>
    <row r="5281" ht="15" x14ac:dyDescent="0.25"/>
    <row r="5282" ht="15" x14ac:dyDescent="0.25"/>
    <row r="5283" ht="15" x14ac:dyDescent="0.25"/>
    <row r="5284" ht="15" x14ac:dyDescent="0.25"/>
    <row r="5285" ht="15" x14ac:dyDescent="0.25"/>
    <row r="5286" ht="15" x14ac:dyDescent="0.25"/>
    <row r="5287" ht="15" x14ac:dyDescent="0.25"/>
    <row r="5288" ht="15" x14ac:dyDescent="0.25"/>
    <row r="5289" ht="15" x14ac:dyDescent="0.25"/>
    <row r="5290" ht="15" x14ac:dyDescent="0.25"/>
    <row r="5291" ht="15" x14ac:dyDescent="0.25"/>
    <row r="5292" ht="15" x14ac:dyDescent="0.25"/>
    <row r="5293" ht="15" x14ac:dyDescent="0.25"/>
    <row r="5294" ht="15" x14ac:dyDescent="0.25"/>
    <row r="5295" ht="15" x14ac:dyDescent="0.25"/>
    <row r="5296" ht="15" x14ac:dyDescent="0.25"/>
    <row r="5297" ht="15" x14ac:dyDescent="0.25"/>
    <row r="5298" ht="15" x14ac:dyDescent="0.25"/>
    <row r="5299" ht="15" x14ac:dyDescent="0.25"/>
    <row r="5300" ht="15" x14ac:dyDescent="0.25"/>
    <row r="5301" ht="15" x14ac:dyDescent="0.25"/>
    <row r="5302" ht="15" x14ac:dyDescent="0.25"/>
    <row r="5303" ht="15" x14ac:dyDescent="0.25"/>
    <row r="5304" ht="15" x14ac:dyDescent="0.25"/>
    <row r="5305" ht="15" x14ac:dyDescent="0.25"/>
    <row r="5306" ht="15" x14ac:dyDescent="0.25"/>
    <row r="5307" ht="15" x14ac:dyDescent="0.25"/>
    <row r="5308" ht="15" x14ac:dyDescent="0.25"/>
    <row r="5309" ht="15" x14ac:dyDescent="0.25"/>
    <row r="5310" ht="15" x14ac:dyDescent="0.25"/>
    <row r="5311" ht="15" x14ac:dyDescent="0.25"/>
    <row r="5312" ht="15" x14ac:dyDescent="0.25"/>
    <row r="5313" ht="15" x14ac:dyDescent="0.25"/>
    <row r="5314" ht="15" x14ac:dyDescent="0.25"/>
    <row r="5315" ht="15" x14ac:dyDescent="0.25"/>
    <row r="5316" ht="15" x14ac:dyDescent="0.25"/>
    <row r="5317" ht="15" x14ac:dyDescent="0.25"/>
    <row r="5318" ht="15" x14ac:dyDescent="0.25"/>
    <row r="5319" ht="15" x14ac:dyDescent="0.25"/>
    <row r="5320" ht="15" x14ac:dyDescent="0.25"/>
    <row r="5321" ht="15" x14ac:dyDescent="0.25"/>
    <row r="5322" ht="15" x14ac:dyDescent="0.25"/>
    <row r="5323" ht="15" x14ac:dyDescent="0.25"/>
    <row r="5324" ht="15" x14ac:dyDescent="0.25"/>
    <row r="5325" ht="15" x14ac:dyDescent="0.25"/>
    <row r="5326" ht="15" x14ac:dyDescent="0.25"/>
    <row r="5327" ht="15" x14ac:dyDescent="0.25"/>
    <row r="5328" ht="15" x14ac:dyDescent="0.25"/>
    <row r="5329" ht="15" x14ac:dyDescent="0.25"/>
    <row r="5330" ht="15" x14ac:dyDescent="0.25"/>
    <row r="5331" ht="15" x14ac:dyDescent="0.25"/>
    <row r="5332" ht="15" x14ac:dyDescent="0.25"/>
    <row r="5333" ht="15" x14ac:dyDescent="0.25"/>
    <row r="5334" ht="15" x14ac:dyDescent="0.25"/>
    <row r="5335" ht="15" x14ac:dyDescent="0.25"/>
    <row r="5336" ht="15" x14ac:dyDescent="0.25"/>
    <row r="5337" ht="15" x14ac:dyDescent="0.25"/>
    <row r="5338" ht="15" x14ac:dyDescent="0.25"/>
    <row r="5339" ht="15" x14ac:dyDescent="0.25"/>
    <row r="5340" ht="15" x14ac:dyDescent="0.25"/>
    <row r="5341" ht="15" x14ac:dyDescent="0.25"/>
    <row r="5342" ht="15" x14ac:dyDescent="0.25"/>
    <row r="5343" ht="15" x14ac:dyDescent="0.25"/>
    <row r="5344" ht="15" x14ac:dyDescent="0.25"/>
    <row r="5345" ht="15" x14ac:dyDescent="0.25"/>
    <row r="5346" ht="15" x14ac:dyDescent="0.25"/>
    <row r="5347" ht="15" x14ac:dyDescent="0.25"/>
    <row r="5348" ht="15" x14ac:dyDescent="0.25"/>
    <row r="5349" ht="15" x14ac:dyDescent="0.25"/>
    <row r="5350" ht="15" x14ac:dyDescent="0.25"/>
    <row r="5351" ht="15" x14ac:dyDescent="0.25"/>
    <row r="5352" ht="15" x14ac:dyDescent="0.25"/>
    <row r="5353" ht="15" x14ac:dyDescent="0.25"/>
    <row r="5354" ht="15" x14ac:dyDescent="0.25"/>
    <row r="5355" ht="15" x14ac:dyDescent="0.25"/>
    <row r="5356" ht="15" x14ac:dyDescent="0.25"/>
    <row r="5357" ht="15" x14ac:dyDescent="0.25"/>
    <row r="5358" ht="15" x14ac:dyDescent="0.25"/>
    <row r="5359" ht="15" x14ac:dyDescent="0.25"/>
    <row r="5360" ht="15" x14ac:dyDescent="0.25"/>
    <row r="5361" ht="15" x14ac:dyDescent="0.25"/>
    <row r="5362" ht="15" x14ac:dyDescent="0.25"/>
    <row r="5363" ht="15" x14ac:dyDescent="0.25"/>
    <row r="5364" ht="15" x14ac:dyDescent="0.25"/>
    <row r="5365" ht="15" x14ac:dyDescent="0.25"/>
    <row r="5366" ht="15" x14ac:dyDescent="0.25"/>
    <row r="5367" ht="15" x14ac:dyDescent="0.25"/>
    <row r="5368" ht="15" x14ac:dyDescent="0.25"/>
    <row r="5369" ht="15" x14ac:dyDescent="0.25"/>
    <row r="5370" ht="15" x14ac:dyDescent="0.25"/>
    <row r="5371" ht="15" x14ac:dyDescent="0.25"/>
    <row r="5372" ht="15" x14ac:dyDescent="0.25"/>
    <row r="5373" ht="15" x14ac:dyDescent="0.25"/>
    <row r="5374" ht="15" x14ac:dyDescent="0.25"/>
    <row r="5375" ht="15" x14ac:dyDescent="0.25"/>
    <row r="5376" ht="15" x14ac:dyDescent="0.25"/>
    <row r="5377" ht="15" x14ac:dyDescent="0.25"/>
    <row r="5378" ht="15" x14ac:dyDescent="0.25"/>
    <row r="5379" ht="15" x14ac:dyDescent="0.25"/>
    <row r="5380" ht="15" x14ac:dyDescent="0.25"/>
    <row r="5381" ht="15" x14ac:dyDescent="0.25"/>
    <row r="5382" ht="15" x14ac:dyDescent="0.25"/>
    <row r="5383" ht="15" x14ac:dyDescent="0.25"/>
    <row r="5384" ht="15" x14ac:dyDescent="0.25"/>
    <row r="5385" ht="15" x14ac:dyDescent="0.25"/>
    <row r="5386" ht="15" x14ac:dyDescent="0.25"/>
    <row r="5387" ht="15" x14ac:dyDescent="0.25"/>
    <row r="5388" ht="15" x14ac:dyDescent="0.25"/>
    <row r="5389" ht="15" x14ac:dyDescent="0.25"/>
    <row r="5390" ht="15" x14ac:dyDescent="0.25"/>
    <row r="5391" ht="15" x14ac:dyDescent="0.25"/>
    <row r="5392" ht="15" x14ac:dyDescent="0.25"/>
    <row r="5393" ht="15" x14ac:dyDescent="0.25"/>
    <row r="5394" ht="15" x14ac:dyDescent="0.25"/>
    <row r="5395" ht="15" x14ac:dyDescent="0.25"/>
    <row r="5396" ht="15" x14ac:dyDescent="0.25"/>
    <row r="5397" ht="15" x14ac:dyDescent="0.25"/>
    <row r="5398" ht="15" x14ac:dyDescent="0.25"/>
    <row r="5399" ht="15" x14ac:dyDescent="0.25"/>
    <row r="5400" ht="15" x14ac:dyDescent="0.25"/>
    <row r="5401" ht="15" x14ac:dyDescent="0.25"/>
    <row r="5402" ht="15" x14ac:dyDescent="0.25"/>
    <row r="5403" ht="15" x14ac:dyDescent="0.25"/>
    <row r="5404" ht="15" x14ac:dyDescent="0.25"/>
    <row r="5405" ht="15" x14ac:dyDescent="0.25"/>
    <row r="5406" ht="15" x14ac:dyDescent="0.25"/>
    <row r="5407" ht="15" x14ac:dyDescent="0.25"/>
    <row r="5408" ht="15" x14ac:dyDescent="0.25"/>
    <row r="5409" ht="15" x14ac:dyDescent="0.25"/>
    <row r="5410" ht="15" x14ac:dyDescent="0.25"/>
    <row r="5411" ht="15" x14ac:dyDescent="0.25"/>
    <row r="5412" ht="15" x14ac:dyDescent="0.25"/>
    <row r="5413" ht="15" x14ac:dyDescent="0.25"/>
    <row r="5414" ht="15" x14ac:dyDescent="0.25"/>
    <row r="5415" ht="15" x14ac:dyDescent="0.25"/>
    <row r="5416" ht="15" x14ac:dyDescent="0.25"/>
    <row r="5417" ht="15" x14ac:dyDescent="0.25"/>
    <row r="5418" ht="15" x14ac:dyDescent="0.25"/>
    <row r="5419" ht="15" x14ac:dyDescent="0.25"/>
    <row r="5420" ht="15" x14ac:dyDescent="0.25"/>
    <row r="5421" ht="15" x14ac:dyDescent="0.25"/>
    <row r="5422" ht="15" x14ac:dyDescent="0.25"/>
    <row r="5423" ht="15" x14ac:dyDescent="0.25"/>
    <row r="5424" ht="15" x14ac:dyDescent="0.25"/>
    <row r="5425" ht="15" x14ac:dyDescent="0.25"/>
    <row r="5426" ht="15" x14ac:dyDescent="0.25"/>
    <row r="5427" ht="15" x14ac:dyDescent="0.25"/>
    <row r="5428" ht="15" x14ac:dyDescent="0.25"/>
    <row r="5429" ht="15" x14ac:dyDescent="0.25"/>
    <row r="5430" ht="15" x14ac:dyDescent="0.25"/>
    <row r="5431" ht="15" x14ac:dyDescent="0.25"/>
    <row r="5432" ht="15" x14ac:dyDescent="0.25"/>
    <row r="5433" ht="15" x14ac:dyDescent="0.25"/>
    <row r="5434" ht="15" x14ac:dyDescent="0.25"/>
    <row r="5435" ht="15" x14ac:dyDescent="0.25"/>
    <row r="5436" ht="15" x14ac:dyDescent="0.25"/>
    <row r="5437" ht="15" x14ac:dyDescent="0.25"/>
    <row r="5438" ht="15" x14ac:dyDescent="0.25"/>
    <row r="5439" ht="15" x14ac:dyDescent="0.25"/>
    <row r="5440" ht="15" x14ac:dyDescent="0.25"/>
    <row r="5441" ht="15" x14ac:dyDescent="0.25"/>
    <row r="5442" ht="15" x14ac:dyDescent="0.25"/>
    <row r="5443" ht="15" x14ac:dyDescent="0.25"/>
    <row r="5444" ht="15" x14ac:dyDescent="0.25"/>
    <row r="5445" ht="15" x14ac:dyDescent="0.25"/>
    <row r="5446" ht="15" x14ac:dyDescent="0.25"/>
    <row r="5447" ht="15" x14ac:dyDescent="0.25"/>
    <row r="5448" ht="15" x14ac:dyDescent="0.25"/>
    <row r="5449" ht="15" x14ac:dyDescent="0.25"/>
    <row r="5450" ht="15" x14ac:dyDescent="0.25"/>
    <row r="5451" ht="15" x14ac:dyDescent="0.25"/>
    <row r="5452" ht="15" x14ac:dyDescent="0.25"/>
    <row r="5453" ht="15" x14ac:dyDescent="0.25"/>
    <row r="5454" ht="15" x14ac:dyDescent="0.25"/>
    <row r="5455" ht="15" x14ac:dyDescent="0.25"/>
    <row r="5456" ht="15" x14ac:dyDescent="0.25"/>
    <row r="5457" ht="15" x14ac:dyDescent="0.25"/>
    <row r="5458" ht="15" x14ac:dyDescent="0.25"/>
    <row r="5459" ht="15" x14ac:dyDescent="0.25"/>
    <row r="5460" ht="15" x14ac:dyDescent="0.25"/>
    <row r="5461" ht="15" x14ac:dyDescent="0.25"/>
    <row r="5462" ht="15" x14ac:dyDescent="0.25"/>
    <row r="5463" ht="15" x14ac:dyDescent="0.25"/>
    <row r="5464" ht="15" x14ac:dyDescent="0.25"/>
    <row r="5465" ht="15" x14ac:dyDescent="0.25"/>
    <row r="5466" ht="15" x14ac:dyDescent="0.25"/>
    <row r="5467" ht="15" x14ac:dyDescent="0.25"/>
    <row r="5468" ht="15" x14ac:dyDescent="0.25"/>
    <row r="5469" ht="15" x14ac:dyDescent="0.25"/>
    <row r="5470" ht="15" x14ac:dyDescent="0.25"/>
    <row r="5471" ht="15" x14ac:dyDescent="0.25"/>
    <row r="5472" ht="15" x14ac:dyDescent="0.25"/>
    <row r="5473" ht="15" x14ac:dyDescent="0.25"/>
    <row r="5474" ht="15" x14ac:dyDescent="0.25"/>
    <row r="5475" ht="15" x14ac:dyDescent="0.25"/>
    <row r="5476" ht="15" x14ac:dyDescent="0.25"/>
    <row r="5477" ht="15" x14ac:dyDescent="0.25"/>
    <row r="5478" ht="15" x14ac:dyDescent="0.25"/>
    <row r="5479" ht="15" x14ac:dyDescent="0.25"/>
    <row r="5480" ht="15" x14ac:dyDescent="0.25"/>
    <row r="5481" ht="15" x14ac:dyDescent="0.25"/>
    <row r="5482" ht="15" x14ac:dyDescent="0.25"/>
    <row r="5483" ht="15" x14ac:dyDescent="0.25"/>
    <row r="5484" ht="15" x14ac:dyDescent="0.25"/>
    <row r="5485" ht="15" x14ac:dyDescent="0.25"/>
    <row r="5486" ht="15" x14ac:dyDescent="0.25"/>
    <row r="5487" ht="15" x14ac:dyDescent="0.25"/>
    <row r="5488" ht="15" x14ac:dyDescent="0.25"/>
    <row r="5489" ht="15" x14ac:dyDescent="0.25"/>
    <row r="5490" ht="15" x14ac:dyDescent="0.25"/>
    <row r="5491" ht="15" x14ac:dyDescent="0.25"/>
    <row r="5492" ht="15" x14ac:dyDescent="0.25"/>
    <row r="5493" ht="15" x14ac:dyDescent="0.25"/>
    <row r="5494" ht="15" x14ac:dyDescent="0.25"/>
    <row r="5495" ht="15" x14ac:dyDescent="0.25"/>
    <row r="5496" ht="15" x14ac:dyDescent="0.25"/>
    <row r="5497" ht="15" x14ac:dyDescent="0.25"/>
    <row r="5498" ht="15" x14ac:dyDescent="0.25"/>
    <row r="5499" ht="15" x14ac:dyDescent="0.25"/>
    <row r="5500" ht="15" x14ac:dyDescent="0.25"/>
    <row r="5501" ht="15" x14ac:dyDescent="0.25"/>
    <row r="5502" ht="15" x14ac:dyDescent="0.25"/>
    <row r="5503" ht="15" x14ac:dyDescent="0.25"/>
    <row r="5504" ht="15" x14ac:dyDescent="0.25"/>
    <row r="5505" ht="15" x14ac:dyDescent="0.25"/>
    <row r="5506" ht="15" x14ac:dyDescent="0.25"/>
    <row r="5507" ht="15" x14ac:dyDescent="0.25"/>
    <row r="5508" ht="15" x14ac:dyDescent="0.25"/>
    <row r="5509" ht="15" x14ac:dyDescent="0.25"/>
    <row r="5510" ht="15" x14ac:dyDescent="0.25"/>
    <row r="5511" ht="15" x14ac:dyDescent="0.25"/>
    <row r="5512" ht="15" x14ac:dyDescent="0.25"/>
    <row r="5513" ht="15" x14ac:dyDescent="0.25"/>
    <row r="5514" ht="15" x14ac:dyDescent="0.25"/>
    <row r="5515" ht="15" x14ac:dyDescent="0.25"/>
    <row r="5516" ht="15" x14ac:dyDescent="0.25"/>
    <row r="5517" ht="15" x14ac:dyDescent="0.25"/>
    <row r="5518" ht="15" x14ac:dyDescent="0.25"/>
    <row r="5519" ht="15" x14ac:dyDescent="0.25"/>
    <row r="5520" ht="15" x14ac:dyDescent="0.25"/>
    <row r="5521" ht="15" x14ac:dyDescent="0.25"/>
    <row r="5522" ht="15" x14ac:dyDescent="0.25"/>
    <row r="5523" ht="15" x14ac:dyDescent="0.25"/>
    <row r="5524" ht="15" x14ac:dyDescent="0.25"/>
    <row r="5525" ht="15" x14ac:dyDescent="0.25"/>
    <row r="5526" ht="15" x14ac:dyDescent="0.25"/>
    <row r="5527" ht="15" x14ac:dyDescent="0.25"/>
    <row r="5528" ht="15" x14ac:dyDescent="0.25"/>
    <row r="5529" ht="15" x14ac:dyDescent="0.25"/>
    <row r="5530" ht="15" x14ac:dyDescent="0.25"/>
    <row r="5531" ht="15" x14ac:dyDescent="0.25"/>
    <row r="5532" ht="15" x14ac:dyDescent="0.25"/>
    <row r="5533" ht="15" x14ac:dyDescent="0.25"/>
    <row r="5534" ht="15" x14ac:dyDescent="0.25"/>
    <row r="5535" ht="15" x14ac:dyDescent="0.25"/>
    <row r="5536" ht="15" x14ac:dyDescent="0.25"/>
    <row r="5537" ht="15" x14ac:dyDescent="0.25"/>
    <row r="5538" ht="15" x14ac:dyDescent="0.25"/>
    <row r="5539" ht="15" x14ac:dyDescent="0.25"/>
    <row r="5540" ht="15" x14ac:dyDescent="0.25"/>
    <row r="5541" ht="15" x14ac:dyDescent="0.25"/>
    <row r="5542" ht="15" x14ac:dyDescent="0.25"/>
    <row r="5543" ht="15" x14ac:dyDescent="0.25"/>
    <row r="5544" ht="15" x14ac:dyDescent="0.25"/>
    <row r="5545" ht="15" x14ac:dyDescent="0.25"/>
    <row r="5546" ht="15" x14ac:dyDescent="0.25"/>
    <row r="5547" ht="15" x14ac:dyDescent="0.25"/>
    <row r="5548" ht="15" x14ac:dyDescent="0.25"/>
    <row r="5549" ht="15" x14ac:dyDescent="0.25"/>
    <row r="5550" ht="15" x14ac:dyDescent="0.25"/>
    <row r="5551" ht="15" x14ac:dyDescent="0.25"/>
    <row r="5552" ht="15" x14ac:dyDescent="0.25"/>
    <row r="5553" ht="15" x14ac:dyDescent="0.25"/>
    <row r="5554" ht="15" x14ac:dyDescent="0.25"/>
    <row r="5555" ht="15" x14ac:dyDescent="0.25"/>
    <row r="5556" ht="15" x14ac:dyDescent="0.25"/>
    <row r="5557" ht="15" x14ac:dyDescent="0.25"/>
    <row r="5558" ht="15" x14ac:dyDescent="0.25"/>
    <row r="5559" ht="15" x14ac:dyDescent="0.25"/>
    <row r="5560" ht="15" x14ac:dyDescent="0.25"/>
    <row r="5561" ht="15" x14ac:dyDescent="0.25"/>
    <row r="5562" ht="15" x14ac:dyDescent="0.25"/>
    <row r="5563" ht="15" x14ac:dyDescent="0.25"/>
    <row r="5564" ht="15" x14ac:dyDescent="0.25"/>
    <row r="5565" ht="15" x14ac:dyDescent="0.25"/>
    <row r="5566" ht="15" x14ac:dyDescent="0.25"/>
    <row r="5567" ht="15" x14ac:dyDescent="0.25"/>
    <row r="5568" ht="15" x14ac:dyDescent="0.25"/>
    <row r="5569" ht="15" x14ac:dyDescent="0.25"/>
    <row r="5570" ht="15" x14ac:dyDescent="0.25"/>
    <row r="5571" ht="15" x14ac:dyDescent="0.25"/>
    <row r="5572" ht="15" x14ac:dyDescent="0.25"/>
    <row r="5573" ht="15" x14ac:dyDescent="0.25"/>
    <row r="5574" ht="15" x14ac:dyDescent="0.25"/>
    <row r="5575" ht="15" x14ac:dyDescent="0.25"/>
    <row r="5576" ht="15" x14ac:dyDescent="0.25"/>
    <row r="5577" ht="15" x14ac:dyDescent="0.25"/>
    <row r="5578" ht="15" x14ac:dyDescent="0.25"/>
    <row r="5579" ht="15" x14ac:dyDescent="0.25"/>
    <row r="5580" ht="15" x14ac:dyDescent="0.25"/>
    <row r="5581" ht="15" x14ac:dyDescent="0.25"/>
    <row r="5582" ht="15" x14ac:dyDescent="0.25"/>
    <row r="5583" ht="15" x14ac:dyDescent="0.25"/>
    <row r="5584" ht="15" x14ac:dyDescent="0.25"/>
    <row r="5585" ht="15" x14ac:dyDescent="0.25"/>
    <row r="5586" ht="15" x14ac:dyDescent="0.25"/>
    <row r="5587" ht="15" x14ac:dyDescent="0.25"/>
    <row r="5588" ht="15" x14ac:dyDescent="0.25"/>
    <row r="5589" ht="15" x14ac:dyDescent="0.25"/>
    <row r="5590" ht="15" x14ac:dyDescent="0.25"/>
    <row r="5591" ht="15" x14ac:dyDescent="0.25"/>
    <row r="5592" ht="15" x14ac:dyDescent="0.25"/>
    <row r="5593" ht="15" x14ac:dyDescent="0.25"/>
    <row r="5594" ht="15" x14ac:dyDescent="0.25"/>
    <row r="5595" ht="15" x14ac:dyDescent="0.25"/>
    <row r="5596" ht="15" x14ac:dyDescent="0.25"/>
    <row r="5597" ht="15" x14ac:dyDescent="0.25"/>
    <row r="5598" ht="15" x14ac:dyDescent="0.25"/>
    <row r="5599" ht="15" x14ac:dyDescent="0.25"/>
    <row r="5600" ht="15" x14ac:dyDescent="0.25"/>
    <row r="5601" ht="15" x14ac:dyDescent="0.25"/>
    <row r="5602" ht="15" x14ac:dyDescent="0.25"/>
    <row r="5603" ht="15" x14ac:dyDescent="0.25"/>
    <row r="5604" ht="15" x14ac:dyDescent="0.25"/>
    <row r="5605" ht="15" x14ac:dyDescent="0.25"/>
    <row r="5606" ht="15" x14ac:dyDescent="0.25"/>
    <row r="5607" ht="15" x14ac:dyDescent="0.25"/>
    <row r="5608" ht="15" x14ac:dyDescent="0.25"/>
    <row r="5609" ht="15" x14ac:dyDescent="0.25"/>
    <row r="5610" ht="15" x14ac:dyDescent="0.25"/>
    <row r="5611" ht="15" x14ac:dyDescent="0.25"/>
    <row r="5612" ht="15" x14ac:dyDescent="0.25"/>
    <row r="5613" ht="15" x14ac:dyDescent="0.25"/>
    <row r="5614" ht="15" x14ac:dyDescent="0.25"/>
    <row r="5615" ht="15" x14ac:dyDescent="0.25"/>
    <row r="5616" ht="15" x14ac:dyDescent="0.25"/>
    <row r="5617" ht="15" x14ac:dyDescent="0.25"/>
    <row r="5618" ht="15" x14ac:dyDescent="0.25"/>
    <row r="5619" ht="15" x14ac:dyDescent="0.25"/>
    <row r="5620" ht="15" x14ac:dyDescent="0.25"/>
    <row r="5621" ht="15" x14ac:dyDescent="0.25"/>
    <row r="5622" ht="15" x14ac:dyDescent="0.25"/>
    <row r="5623" ht="15" x14ac:dyDescent="0.25"/>
    <row r="5624" ht="15" x14ac:dyDescent="0.25"/>
    <row r="5625" ht="15" x14ac:dyDescent="0.25"/>
    <row r="5626" ht="15" x14ac:dyDescent="0.25"/>
    <row r="5627" ht="15" x14ac:dyDescent="0.25"/>
    <row r="5628" ht="15" x14ac:dyDescent="0.25"/>
    <row r="5629" ht="15" x14ac:dyDescent="0.25"/>
    <row r="5630" ht="15" x14ac:dyDescent="0.25"/>
    <row r="5631" ht="15" x14ac:dyDescent="0.25"/>
    <row r="5632" ht="15" x14ac:dyDescent="0.25"/>
    <row r="5633" ht="15" x14ac:dyDescent="0.25"/>
    <row r="5634" ht="15" x14ac:dyDescent="0.25"/>
    <row r="5635" ht="15" x14ac:dyDescent="0.25"/>
    <row r="5636" ht="15" x14ac:dyDescent="0.25"/>
    <row r="5637" ht="15" x14ac:dyDescent="0.25"/>
    <row r="5638" ht="15" x14ac:dyDescent="0.25"/>
    <row r="5639" ht="15" x14ac:dyDescent="0.25"/>
    <row r="5640" ht="15" x14ac:dyDescent="0.25"/>
    <row r="5641" ht="15" x14ac:dyDescent="0.25"/>
    <row r="5642" ht="15" x14ac:dyDescent="0.25"/>
    <row r="5643" ht="15" x14ac:dyDescent="0.25"/>
    <row r="5644" ht="15" x14ac:dyDescent="0.25"/>
    <row r="5645" ht="15" x14ac:dyDescent="0.25"/>
    <row r="5646" ht="15" x14ac:dyDescent="0.25"/>
    <row r="5647" ht="15" x14ac:dyDescent="0.25"/>
    <row r="5648" ht="15" x14ac:dyDescent="0.25"/>
    <row r="5649" ht="15" x14ac:dyDescent="0.25"/>
    <row r="5650" ht="15" x14ac:dyDescent="0.25"/>
    <row r="5651" ht="15" x14ac:dyDescent="0.25"/>
    <row r="5652" ht="15" x14ac:dyDescent="0.25"/>
    <row r="5653" ht="15" x14ac:dyDescent="0.25"/>
    <row r="5654" ht="15" x14ac:dyDescent="0.25"/>
    <row r="5655" ht="15" x14ac:dyDescent="0.25"/>
    <row r="5656" ht="15" x14ac:dyDescent="0.25"/>
    <row r="5657" ht="15" x14ac:dyDescent="0.25"/>
    <row r="5658" ht="15" x14ac:dyDescent="0.25"/>
    <row r="5659" ht="15" x14ac:dyDescent="0.25"/>
    <row r="5660" ht="15" x14ac:dyDescent="0.25"/>
    <row r="5661" ht="15" x14ac:dyDescent="0.25"/>
    <row r="5662" ht="15" x14ac:dyDescent="0.25"/>
    <row r="5663" ht="15" x14ac:dyDescent="0.25"/>
    <row r="5664" ht="15" x14ac:dyDescent="0.25"/>
    <row r="5665" ht="15" x14ac:dyDescent="0.25"/>
    <row r="5666" ht="15" x14ac:dyDescent="0.25"/>
    <row r="5667" ht="15" x14ac:dyDescent="0.25"/>
    <row r="5668" ht="15" x14ac:dyDescent="0.25"/>
    <row r="5669" ht="15" x14ac:dyDescent="0.25"/>
    <row r="5670" ht="15" x14ac:dyDescent="0.25"/>
    <row r="5671" ht="15" x14ac:dyDescent="0.25"/>
    <row r="5672" ht="15" x14ac:dyDescent="0.25"/>
    <row r="5673" ht="15" x14ac:dyDescent="0.25"/>
    <row r="5674" ht="15" x14ac:dyDescent="0.25"/>
    <row r="5675" ht="15" x14ac:dyDescent="0.25"/>
    <row r="5676" ht="15" x14ac:dyDescent="0.25"/>
    <row r="5677" ht="15" x14ac:dyDescent="0.25"/>
    <row r="5678" ht="15" x14ac:dyDescent="0.25"/>
    <row r="5679" ht="15" x14ac:dyDescent="0.25"/>
    <row r="5680" ht="15" x14ac:dyDescent="0.25"/>
    <row r="5681" ht="15" x14ac:dyDescent="0.25"/>
    <row r="5682" ht="15" x14ac:dyDescent="0.25"/>
    <row r="5683" ht="15" x14ac:dyDescent="0.25"/>
    <row r="5684" ht="15" x14ac:dyDescent="0.25"/>
    <row r="5685" ht="15" x14ac:dyDescent="0.25"/>
    <row r="5686" ht="15" x14ac:dyDescent="0.25"/>
    <row r="5687" ht="15" x14ac:dyDescent="0.25"/>
    <row r="5688" ht="15" x14ac:dyDescent="0.25"/>
    <row r="5689" ht="15" x14ac:dyDescent="0.25"/>
    <row r="5690" ht="15" x14ac:dyDescent="0.25"/>
    <row r="5691" ht="15" x14ac:dyDescent="0.25"/>
    <row r="5692" ht="15" x14ac:dyDescent="0.25"/>
    <row r="5693" ht="15" x14ac:dyDescent="0.25"/>
    <row r="5694" ht="15" x14ac:dyDescent="0.25"/>
    <row r="5695" ht="15" x14ac:dyDescent="0.25"/>
    <row r="5696" ht="15" x14ac:dyDescent="0.25"/>
    <row r="5697" ht="15" x14ac:dyDescent="0.25"/>
    <row r="5698" ht="15" x14ac:dyDescent="0.25"/>
    <row r="5699" ht="15" x14ac:dyDescent="0.25"/>
    <row r="5700" ht="15" x14ac:dyDescent="0.25"/>
    <row r="5701" ht="15" x14ac:dyDescent="0.25"/>
    <row r="5702" ht="15" x14ac:dyDescent="0.25"/>
    <row r="5703" ht="15" x14ac:dyDescent="0.25"/>
    <row r="5704" ht="15" x14ac:dyDescent="0.25"/>
    <row r="5705" ht="15" x14ac:dyDescent="0.25"/>
    <row r="5706" ht="15" x14ac:dyDescent="0.25"/>
    <row r="5707" ht="15" x14ac:dyDescent="0.25"/>
    <row r="5708" ht="15" x14ac:dyDescent="0.25"/>
    <row r="5709" ht="15" x14ac:dyDescent="0.25"/>
    <row r="5710" ht="15" x14ac:dyDescent="0.25"/>
    <row r="5711" ht="15" x14ac:dyDescent="0.25"/>
    <row r="5712" ht="15" x14ac:dyDescent="0.25"/>
    <row r="5713" ht="15" x14ac:dyDescent="0.25"/>
    <row r="5714" ht="15" x14ac:dyDescent="0.25"/>
    <row r="5715" ht="15" x14ac:dyDescent="0.25"/>
    <row r="5716" ht="15" x14ac:dyDescent="0.25"/>
    <row r="5717" ht="15" x14ac:dyDescent="0.25"/>
    <row r="5718" ht="15" x14ac:dyDescent="0.25"/>
    <row r="5719" ht="15" x14ac:dyDescent="0.25"/>
    <row r="5720" ht="15" x14ac:dyDescent="0.25"/>
    <row r="5721" ht="15" x14ac:dyDescent="0.25"/>
    <row r="5722" ht="15" x14ac:dyDescent="0.25"/>
    <row r="5723" ht="15" x14ac:dyDescent="0.25"/>
    <row r="5724" ht="15" x14ac:dyDescent="0.25"/>
    <row r="5725" ht="15" x14ac:dyDescent="0.25"/>
    <row r="5726" ht="15" x14ac:dyDescent="0.25"/>
    <row r="5727" ht="15" x14ac:dyDescent="0.25"/>
    <row r="5728" ht="15" x14ac:dyDescent="0.25"/>
    <row r="5729" ht="15" x14ac:dyDescent="0.25"/>
    <row r="5730" ht="15" x14ac:dyDescent="0.25"/>
    <row r="5731" ht="15" x14ac:dyDescent="0.25"/>
    <row r="5732" ht="15" x14ac:dyDescent="0.25"/>
    <row r="5733" ht="15" x14ac:dyDescent="0.25"/>
    <row r="5734" ht="15" x14ac:dyDescent="0.25"/>
    <row r="5735" ht="15" x14ac:dyDescent="0.25"/>
    <row r="5736" ht="15" x14ac:dyDescent="0.25"/>
    <row r="5737" ht="15" x14ac:dyDescent="0.25"/>
    <row r="5738" ht="15" x14ac:dyDescent="0.25"/>
    <row r="5739" ht="15" x14ac:dyDescent="0.25"/>
    <row r="5740" ht="15" x14ac:dyDescent="0.25"/>
    <row r="5741" ht="15" x14ac:dyDescent="0.25"/>
    <row r="5742" ht="15" x14ac:dyDescent="0.25"/>
    <row r="5743" ht="15" x14ac:dyDescent="0.25"/>
    <row r="5744" ht="15" x14ac:dyDescent="0.25"/>
    <row r="5745" ht="15" x14ac:dyDescent="0.25"/>
    <row r="5746" ht="15" x14ac:dyDescent="0.25"/>
    <row r="5747" ht="15" x14ac:dyDescent="0.25"/>
    <row r="5748" ht="15" x14ac:dyDescent="0.25"/>
    <row r="5749" ht="15" x14ac:dyDescent="0.25"/>
    <row r="5750" ht="15" x14ac:dyDescent="0.25"/>
    <row r="5751" ht="15" x14ac:dyDescent="0.25"/>
    <row r="5752" ht="15" x14ac:dyDescent="0.25"/>
    <row r="5753" ht="15" x14ac:dyDescent="0.25"/>
    <row r="5754" ht="15" x14ac:dyDescent="0.25"/>
    <row r="5755" ht="15" x14ac:dyDescent="0.25"/>
    <row r="5756" ht="15" x14ac:dyDescent="0.25"/>
    <row r="5757" ht="15" x14ac:dyDescent="0.25"/>
    <row r="5758" ht="15" x14ac:dyDescent="0.25"/>
    <row r="5759" ht="15" x14ac:dyDescent="0.25"/>
    <row r="5760" ht="15" x14ac:dyDescent="0.25"/>
    <row r="5761" ht="15" x14ac:dyDescent="0.25"/>
    <row r="5762" ht="15" x14ac:dyDescent="0.25"/>
    <row r="5763" ht="15" x14ac:dyDescent="0.25"/>
    <row r="5764" ht="15" x14ac:dyDescent="0.25"/>
    <row r="5765" ht="15" x14ac:dyDescent="0.25"/>
    <row r="5766" ht="15" x14ac:dyDescent="0.25"/>
    <row r="5767" ht="15" x14ac:dyDescent="0.25"/>
    <row r="5768" ht="15" x14ac:dyDescent="0.25"/>
    <row r="5769" ht="15" x14ac:dyDescent="0.25"/>
    <row r="5770" ht="15" x14ac:dyDescent="0.25"/>
    <row r="5771" ht="15" x14ac:dyDescent="0.25"/>
    <row r="5772" ht="15" x14ac:dyDescent="0.25"/>
    <row r="5773" ht="15" x14ac:dyDescent="0.25"/>
    <row r="5774" ht="15" x14ac:dyDescent="0.25"/>
    <row r="5775" ht="15" x14ac:dyDescent="0.25"/>
    <row r="5776" ht="15" x14ac:dyDescent="0.25"/>
    <row r="5777" ht="15" x14ac:dyDescent="0.25"/>
    <row r="5778" ht="15" x14ac:dyDescent="0.25"/>
    <row r="5779" ht="15" x14ac:dyDescent="0.25"/>
    <row r="5780" ht="15" x14ac:dyDescent="0.25"/>
    <row r="5781" ht="15" x14ac:dyDescent="0.25"/>
    <row r="5782" ht="15" x14ac:dyDescent="0.25"/>
    <row r="5783" ht="15" x14ac:dyDescent="0.25"/>
    <row r="5784" ht="15" x14ac:dyDescent="0.25"/>
    <row r="5785" ht="15" x14ac:dyDescent="0.25"/>
    <row r="5786" ht="15" x14ac:dyDescent="0.25"/>
    <row r="5787" ht="15" x14ac:dyDescent="0.25"/>
    <row r="5788" ht="15" x14ac:dyDescent="0.25"/>
    <row r="5789" ht="15" x14ac:dyDescent="0.25"/>
    <row r="5790" ht="15" x14ac:dyDescent="0.25"/>
    <row r="5791" ht="15" x14ac:dyDescent="0.25"/>
    <row r="5792" ht="15" x14ac:dyDescent="0.25"/>
    <row r="5793" ht="15" x14ac:dyDescent="0.25"/>
    <row r="5794" ht="15" x14ac:dyDescent="0.25"/>
    <row r="5795" ht="15" x14ac:dyDescent="0.25"/>
    <row r="5796" ht="15" x14ac:dyDescent="0.25"/>
    <row r="5797" ht="15" x14ac:dyDescent="0.25"/>
    <row r="5798" ht="15" x14ac:dyDescent="0.25"/>
    <row r="5799" ht="15" x14ac:dyDescent="0.25"/>
    <row r="5800" ht="15" x14ac:dyDescent="0.25"/>
    <row r="5801" ht="15" x14ac:dyDescent="0.25"/>
    <row r="5802" ht="15" x14ac:dyDescent="0.25"/>
    <row r="5803" ht="15" x14ac:dyDescent="0.25"/>
    <row r="5804" ht="15" x14ac:dyDescent="0.25"/>
    <row r="5805" ht="15" x14ac:dyDescent="0.25"/>
    <row r="5806" ht="15" x14ac:dyDescent="0.25"/>
    <row r="5807" ht="15" x14ac:dyDescent="0.25"/>
    <row r="5808" ht="15" x14ac:dyDescent="0.25"/>
    <row r="5809" ht="15" x14ac:dyDescent="0.25"/>
    <row r="5810" ht="15" x14ac:dyDescent="0.25"/>
    <row r="5811" ht="15" x14ac:dyDescent="0.25"/>
    <row r="5812" ht="15" x14ac:dyDescent="0.25"/>
    <row r="5813" ht="15" x14ac:dyDescent="0.25"/>
    <row r="5814" ht="15" x14ac:dyDescent="0.25"/>
    <row r="5815" ht="15" x14ac:dyDescent="0.25"/>
    <row r="5816" ht="15" x14ac:dyDescent="0.25"/>
    <row r="5817" ht="15" x14ac:dyDescent="0.25"/>
    <row r="5818" ht="15" x14ac:dyDescent="0.25"/>
    <row r="5819" ht="15" x14ac:dyDescent="0.25"/>
    <row r="5820" ht="15" x14ac:dyDescent="0.25"/>
    <row r="5821" ht="15" x14ac:dyDescent="0.25"/>
    <row r="5822" ht="15" x14ac:dyDescent="0.25"/>
    <row r="5823" ht="15" x14ac:dyDescent="0.25"/>
    <row r="5824" ht="15" x14ac:dyDescent="0.25"/>
    <row r="5825" ht="15" x14ac:dyDescent="0.25"/>
    <row r="5826" ht="15" x14ac:dyDescent="0.25"/>
    <row r="5827" ht="15" x14ac:dyDescent="0.25"/>
    <row r="5828" ht="15" x14ac:dyDescent="0.25"/>
    <row r="5829" ht="15" x14ac:dyDescent="0.25"/>
    <row r="5830" ht="15" x14ac:dyDescent="0.25"/>
    <row r="5831" ht="15" x14ac:dyDescent="0.25"/>
    <row r="5832" ht="15" x14ac:dyDescent="0.25"/>
    <row r="5833" ht="15" x14ac:dyDescent="0.25"/>
    <row r="5834" ht="15" x14ac:dyDescent="0.25"/>
    <row r="5835" ht="15" x14ac:dyDescent="0.25"/>
    <row r="5836" ht="15" x14ac:dyDescent="0.25"/>
    <row r="5837" ht="15" x14ac:dyDescent="0.25"/>
    <row r="5838" ht="15" x14ac:dyDescent="0.25"/>
    <row r="5839" ht="15" x14ac:dyDescent="0.25"/>
    <row r="5840" ht="15" x14ac:dyDescent="0.25"/>
    <row r="5841" ht="15" x14ac:dyDescent="0.25"/>
    <row r="5842" ht="15" x14ac:dyDescent="0.25"/>
    <row r="5843" ht="15" x14ac:dyDescent="0.25"/>
    <row r="5844" ht="15" x14ac:dyDescent="0.25"/>
    <row r="5845" ht="15" x14ac:dyDescent="0.25"/>
    <row r="5846" ht="15" x14ac:dyDescent="0.25"/>
    <row r="5847" ht="15" x14ac:dyDescent="0.25"/>
    <row r="5848" ht="15" x14ac:dyDescent="0.25"/>
    <row r="5849" ht="15" x14ac:dyDescent="0.25"/>
    <row r="5850" ht="15" x14ac:dyDescent="0.25"/>
    <row r="5851" ht="15" x14ac:dyDescent="0.25"/>
    <row r="5852" ht="15" x14ac:dyDescent="0.25"/>
    <row r="5853" ht="15" x14ac:dyDescent="0.25"/>
    <row r="5854" ht="15" x14ac:dyDescent="0.25"/>
    <row r="5855" ht="15" x14ac:dyDescent="0.25"/>
    <row r="5856" ht="15" x14ac:dyDescent="0.25"/>
    <row r="5857" ht="15" x14ac:dyDescent="0.25"/>
    <row r="5858" ht="15" x14ac:dyDescent="0.25"/>
    <row r="5859" ht="15" x14ac:dyDescent="0.25"/>
    <row r="5860" ht="15" x14ac:dyDescent="0.25"/>
    <row r="5861" ht="15" x14ac:dyDescent="0.25"/>
    <row r="5862" ht="15" x14ac:dyDescent="0.25"/>
    <row r="5863" ht="15" x14ac:dyDescent="0.25"/>
    <row r="5864" ht="15" x14ac:dyDescent="0.25"/>
    <row r="5865" ht="15" x14ac:dyDescent="0.25"/>
    <row r="5866" ht="15" x14ac:dyDescent="0.25"/>
    <row r="5867" ht="15" x14ac:dyDescent="0.25"/>
    <row r="5868" ht="15" x14ac:dyDescent="0.25"/>
    <row r="5869" ht="15" x14ac:dyDescent="0.25"/>
    <row r="5870" ht="15" x14ac:dyDescent="0.25"/>
    <row r="5871" ht="15" x14ac:dyDescent="0.25"/>
    <row r="5872" ht="15" x14ac:dyDescent="0.25"/>
    <row r="5873" ht="15" x14ac:dyDescent="0.25"/>
    <row r="5874" ht="15" x14ac:dyDescent="0.25"/>
    <row r="5875" ht="15" x14ac:dyDescent="0.25"/>
    <row r="5876" ht="15" x14ac:dyDescent="0.25"/>
    <row r="5877" ht="15" x14ac:dyDescent="0.25"/>
    <row r="5878" ht="15" x14ac:dyDescent="0.25"/>
    <row r="5879" ht="15" x14ac:dyDescent="0.25"/>
    <row r="5880" ht="15" x14ac:dyDescent="0.25"/>
    <row r="5881" ht="15" x14ac:dyDescent="0.25"/>
    <row r="5882" ht="15" x14ac:dyDescent="0.25"/>
    <row r="5883" ht="15" x14ac:dyDescent="0.25"/>
    <row r="5884" ht="15" x14ac:dyDescent="0.25"/>
    <row r="5885" ht="15" x14ac:dyDescent="0.25"/>
    <row r="5886" ht="15" x14ac:dyDescent="0.25"/>
    <row r="5887" ht="15" x14ac:dyDescent="0.25"/>
    <row r="5888" ht="15" x14ac:dyDescent="0.25"/>
    <row r="5889" ht="15" x14ac:dyDescent="0.25"/>
    <row r="5890" ht="15" x14ac:dyDescent="0.25"/>
    <row r="5891" ht="15" x14ac:dyDescent="0.25"/>
    <row r="5892" ht="15" x14ac:dyDescent="0.25"/>
    <row r="5893" ht="15" x14ac:dyDescent="0.25"/>
    <row r="5894" ht="15" x14ac:dyDescent="0.25"/>
    <row r="5895" ht="15" x14ac:dyDescent="0.25"/>
    <row r="5896" ht="15" x14ac:dyDescent="0.25"/>
    <row r="5897" ht="15" x14ac:dyDescent="0.25"/>
    <row r="5898" ht="15" x14ac:dyDescent="0.25"/>
    <row r="5899" ht="15" x14ac:dyDescent="0.25"/>
    <row r="5900" ht="15" x14ac:dyDescent="0.25"/>
    <row r="5901" ht="15" x14ac:dyDescent="0.25"/>
    <row r="5902" ht="15" x14ac:dyDescent="0.25"/>
    <row r="5903" ht="15" x14ac:dyDescent="0.25"/>
    <row r="5904" ht="15" x14ac:dyDescent="0.25"/>
    <row r="5905" ht="15" x14ac:dyDescent="0.25"/>
    <row r="5906" ht="15" x14ac:dyDescent="0.25"/>
    <row r="5907" ht="15" x14ac:dyDescent="0.25"/>
    <row r="5908" ht="15" x14ac:dyDescent="0.25"/>
    <row r="5909" ht="15" x14ac:dyDescent="0.25"/>
    <row r="5910" ht="15" x14ac:dyDescent="0.25"/>
    <row r="5911" ht="15" x14ac:dyDescent="0.25"/>
    <row r="5912" ht="15" x14ac:dyDescent="0.25"/>
    <row r="5913" ht="15" x14ac:dyDescent="0.25"/>
    <row r="5914" ht="15" x14ac:dyDescent="0.25"/>
    <row r="5915" ht="15" x14ac:dyDescent="0.25"/>
    <row r="5916" ht="15" x14ac:dyDescent="0.25"/>
    <row r="5917" ht="15" x14ac:dyDescent="0.25"/>
    <row r="5918" ht="15" x14ac:dyDescent="0.25"/>
    <row r="5919" ht="15" x14ac:dyDescent="0.25"/>
    <row r="5920" ht="15" x14ac:dyDescent="0.25"/>
    <row r="5921" ht="15" x14ac:dyDescent="0.25"/>
    <row r="5922" ht="15" x14ac:dyDescent="0.25"/>
    <row r="5923" ht="15" x14ac:dyDescent="0.25"/>
    <row r="5924" ht="15" x14ac:dyDescent="0.25"/>
    <row r="5925" ht="15" x14ac:dyDescent="0.25"/>
    <row r="5926" ht="15" x14ac:dyDescent="0.25"/>
    <row r="5927" ht="15" x14ac:dyDescent="0.25"/>
    <row r="5928" ht="15" x14ac:dyDescent="0.25"/>
    <row r="5929" ht="15" x14ac:dyDescent="0.25"/>
    <row r="5930" ht="15" x14ac:dyDescent="0.25"/>
    <row r="5931" ht="15" x14ac:dyDescent="0.25"/>
    <row r="5932" ht="15" x14ac:dyDescent="0.25"/>
    <row r="5933" ht="15" x14ac:dyDescent="0.25"/>
    <row r="5934" ht="15" x14ac:dyDescent="0.25"/>
    <row r="5935" ht="15" x14ac:dyDescent="0.25"/>
    <row r="5936" ht="15" x14ac:dyDescent="0.25"/>
    <row r="5937" ht="15" x14ac:dyDescent="0.25"/>
    <row r="5938" ht="15" x14ac:dyDescent="0.25"/>
    <row r="5939" ht="15" x14ac:dyDescent="0.25"/>
    <row r="5940" ht="15" x14ac:dyDescent="0.25"/>
    <row r="5941" ht="15" x14ac:dyDescent="0.25"/>
    <row r="5942" ht="15" x14ac:dyDescent="0.25"/>
    <row r="5943" ht="15" x14ac:dyDescent="0.25"/>
    <row r="5944" ht="15" x14ac:dyDescent="0.25"/>
    <row r="5945" ht="15" x14ac:dyDescent="0.25"/>
    <row r="5946" ht="15" x14ac:dyDescent="0.25"/>
  </sheetData>
  <mergeCells count="5">
    <mergeCell ref="A1:D1"/>
    <mergeCell ref="Y4:AE6"/>
    <mergeCell ref="Y1:AE2"/>
    <mergeCell ref="A2:D2"/>
    <mergeCell ref="Q1:X2"/>
  </mergeCells>
  <phoneticPr fontId="18" type="noConversion"/>
  <dataValidations count="5">
    <dataValidation type="decimal" allowBlank="1" showInputMessage="1" showErrorMessage="1" sqref="N7:O201" xr:uid="{00000000-0002-0000-0100-000000000000}">
      <formula1>0</formula1>
      <formula2>100</formula2>
    </dataValidation>
    <dataValidation type="decimal" allowBlank="1" showInputMessage="1" showErrorMessage="1" sqref="M7:M201" xr:uid="{00000000-0002-0000-0100-000001000000}">
      <formula1>0</formula1>
      <formula2>999999</formula2>
    </dataValidation>
    <dataValidation type="textLength" allowBlank="1" showInputMessage="1" showErrorMessage="1" sqref="F7:F201" xr:uid="{00000000-0002-0000-0100-000002000000}">
      <formula1>1</formula1>
      <formula2>50</formula2>
    </dataValidation>
    <dataValidation type="textLength" allowBlank="1" showInputMessage="1" showErrorMessage="1" sqref="G7:G201" xr:uid="{00000000-0002-0000-0100-000003000000}">
      <formula1>1</formula1>
      <formula2>40</formula2>
    </dataValidation>
    <dataValidation type="textLength" allowBlank="1" showInputMessage="1" showErrorMessage="1" errorTitle="Erro" error="O texto inserido excede o tamanho máximo permitido para esta célula." sqref="C7:D201" xr:uid="{00000000-0002-0000-0100-000005000000}">
      <formula1>1</formula1>
      <formula2>50</formula2>
    </dataValidation>
  </dataValidations>
  <hyperlinks>
    <hyperlink ref="E6" location="'Cadastro de Marcas'!A1" display="Para cadastro de 'Marca' em lotes, clique aqui" xr:uid="{D2D5FB65-0CF3-4152-97F8-ED2C0D626766}"/>
  </hyperlink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AD7"/>
  <sheetViews>
    <sheetView workbookViewId="0">
      <pane ySplit="6" topLeftCell="A7" activePane="bottomLeft" state="frozen"/>
      <selection pane="bottomLeft" activeCell="B7" sqref="B7"/>
    </sheetView>
  </sheetViews>
  <sheetFormatPr defaultRowHeight="15" x14ac:dyDescent="0.25"/>
  <cols>
    <col min="1" max="1" width="38.85546875" bestFit="1" customWidth="1"/>
    <col min="2" max="2" width="40" bestFit="1" customWidth="1"/>
    <col min="3" max="3" width="45.42578125" bestFit="1" customWidth="1"/>
    <col min="4" max="4" width="46.42578125" customWidth="1"/>
    <col min="5" max="5" width="38.85546875" bestFit="1" customWidth="1"/>
    <col min="6" max="6" width="12.28515625" bestFit="1" customWidth="1"/>
    <col min="7" max="7" width="13.42578125" bestFit="1" customWidth="1"/>
    <col min="8" max="8" width="24.85546875" bestFit="1" customWidth="1"/>
    <col min="9" max="9" width="0" hidden="1"/>
    <col min="10" max="10" width="10.42578125" bestFit="1" customWidth="1"/>
    <col min="11" max="11" width="17.42578125" bestFit="1" customWidth="1"/>
    <col min="12" max="12" width="10.42578125" bestFit="1" customWidth="1"/>
    <col min="13" max="13" width="13.42578125" bestFit="1" customWidth="1"/>
    <col min="14" max="14" width="6.85546875" bestFit="1" customWidth="1"/>
    <col min="15" max="15" width="4.7109375" bestFit="1" customWidth="1"/>
    <col min="16" max="16" width="37" bestFit="1" customWidth="1"/>
    <col min="25" max="30" width="0" hidden="1"/>
  </cols>
  <sheetData>
    <row r="1" spans="1:30" ht="15" customHeight="1" x14ac:dyDescent="0.25">
      <c r="A1" s="61" t="s">
        <v>35</v>
      </c>
      <c r="B1" s="62"/>
      <c r="C1" s="62"/>
      <c r="D1" s="62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72" t="s">
        <v>9</v>
      </c>
      <c r="R1" s="66"/>
      <c r="S1" s="66"/>
      <c r="T1" s="66"/>
      <c r="U1" s="66"/>
      <c r="V1" s="66"/>
      <c r="W1" s="66"/>
      <c r="X1" s="67"/>
      <c r="Y1" s="65" t="s">
        <v>10</v>
      </c>
      <c r="Z1" s="66"/>
      <c r="AA1" s="66"/>
      <c r="AB1" s="66"/>
      <c r="AC1" s="66"/>
      <c r="AD1" s="67"/>
    </row>
    <row r="2" spans="1:30" ht="30" customHeight="1" x14ac:dyDescent="0.25">
      <c r="A2" s="71" t="s">
        <v>5</v>
      </c>
      <c r="B2" s="62"/>
      <c r="C2" s="62"/>
      <c r="D2" s="62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8"/>
      <c r="R2" s="69"/>
      <c r="S2" s="69"/>
      <c r="T2" s="69"/>
      <c r="U2" s="69"/>
      <c r="V2" s="69"/>
      <c r="W2" s="69"/>
      <c r="X2" s="70"/>
      <c r="Y2" s="68"/>
      <c r="Z2" s="69"/>
      <c r="AA2" s="69"/>
      <c r="AB2" s="69"/>
      <c r="AC2" s="69"/>
      <c r="AD2" s="70"/>
    </row>
    <row r="3" spans="1:30" ht="30" customHeight="1" x14ac:dyDescent="0.25">
      <c r="A3" s="7" t="s">
        <v>11</v>
      </c>
      <c r="B3" s="7" t="s">
        <v>12</v>
      </c>
      <c r="C3" s="7" t="s">
        <v>13</v>
      </c>
      <c r="D3" s="7" t="s">
        <v>14</v>
      </c>
      <c r="E3" s="20" t="s">
        <v>15</v>
      </c>
      <c r="F3" s="20" t="s">
        <v>16</v>
      </c>
      <c r="G3" s="20" t="s">
        <v>17</v>
      </c>
      <c r="H3" s="8" t="s">
        <v>18</v>
      </c>
      <c r="I3" s="8" t="s">
        <v>19</v>
      </c>
      <c r="J3" s="8" t="s">
        <v>20</v>
      </c>
      <c r="K3" s="8" t="s">
        <v>21</v>
      </c>
      <c r="L3" s="8" t="s">
        <v>22</v>
      </c>
      <c r="M3" s="8" t="s">
        <v>23</v>
      </c>
      <c r="N3" s="8" t="s">
        <v>24</v>
      </c>
      <c r="O3" s="8" t="s">
        <v>25</v>
      </c>
      <c r="P3" s="10" t="s">
        <v>26</v>
      </c>
      <c r="Q3" s="11"/>
      <c r="R3" s="11"/>
      <c r="S3" s="11"/>
      <c r="T3" s="11"/>
      <c r="U3" s="11"/>
      <c r="V3" s="11"/>
      <c r="W3" s="11"/>
      <c r="X3" s="11"/>
      <c r="Y3" s="22" t="s">
        <v>11</v>
      </c>
      <c r="Z3" s="22" t="s">
        <v>12</v>
      </c>
      <c r="AA3" s="23" t="s">
        <v>15</v>
      </c>
      <c r="AB3" s="22" t="s">
        <v>18</v>
      </c>
      <c r="AC3" s="22" t="s">
        <v>20</v>
      </c>
      <c r="AD3" s="22" t="s">
        <v>26</v>
      </c>
    </row>
    <row r="4" spans="1:30" ht="14.25" customHeight="1" x14ac:dyDescent="0.25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73" t="s">
        <v>28</v>
      </c>
      <c r="Z4" s="64"/>
      <c r="AA4" s="64"/>
      <c r="AB4" s="64"/>
      <c r="AC4" s="64"/>
      <c r="AD4" s="64"/>
    </row>
    <row r="5" spans="1:30" ht="84.95" customHeight="1" x14ac:dyDescent="0.25">
      <c r="A5" s="27"/>
      <c r="B5" s="27"/>
      <c r="C5" s="13"/>
      <c r="D5" s="28"/>
      <c r="E5" s="17"/>
      <c r="F5" s="28"/>
      <c r="G5" s="13"/>
      <c r="H5" s="27"/>
      <c r="I5" s="27"/>
      <c r="J5" s="27"/>
      <c r="K5" s="27"/>
      <c r="L5" s="17"/>
      <c r="M5" s="13"/>
      <c r="N5" s="13"/>
      <c r="O5" s="13"/>
      <c r="P5" s="17"/>
      <c r="Q5" s="13"/>
      <c r="R5" s="13"/>
      <c r="S5" s="13"/>
      <c r="T5" s="13"/>
      <c r="U5" s="13"/>
      <c r="V5" s="13"/>
      <c r="W5" s="13"/>
      <c r="X5" s="13"/>
      <c r="Y5" s="74"/>
      <c r="Z5" s="74"/>
      <c r="AA5" s="74"/>
      <c r="AB5" s="74"/>
      <c r="AC5" s="74"/>
      <c r="AD5" s="74"/>
    </row>
    <row r="6" spans="1:30" x14ac:dyDescent="0.25">
      <c r="A6" s="34"/>
      <c r="B6" s="34"/>
      <c r="C6" s="9"/>
      <c r="D6" s="35"/>
      <c r="E6" s="33"/>
      <c r="F6" s="30"/>
      <c r="G6" s="13"/>
      <c r="H6" s="31"/>
      <c r="I6" s="17"/>
      <c r="J6" s="17"/>
      <c r="K6" s="29"/>
      <c r="L6" s="26"/>
      <c r="M6" s="13"/>
      <c r="N6" s="13"/>
      <c r="O6" s="30"/>
      <c r="P6" s="17"/>
      <c r="Q6" s="9"/>
      <c r="R6" s="9"/>
      <c r="S6" s="9"/>
      <c r="T6" s="9"/>
      <c r="U6" s="9"/>
      <c r="V6" s="9"/>
      <c r="W6" s="9"/>
      <c r="X6" s="9"/>
      <c r="Y6" s="24"/>
      <c r="Z6" s="24"/>
      <c r="AA6" s="24"/>
      <c r="AB6" s="24"/>
      <c r="AC6" s="24"/>
      <c r="AD6" s="24"/>
    </row>
    <row r="7" spans="1:30" ht="20.100000000000001" customHeight="1" x14ac:dyDescent="0.25"/>
  </sheetData>
  <mergeCells count="5">
    <mergeCell ref="A1:D1"/>
    <mergeCell ref="Y1:AD2"/>
    <mergeCell ref="A2:D2"/>
    <mergeCell ref="Q1:X2"/>
    <mergeCell ref="Y4:AD5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P5"/>
  <sheetViews>
    <sheetView workbookViewId="0">
      <pane ySplit="5" topLeftCell="A6" activePane="bottomLeft" state="frozen"/>
      <selection pane="bottomLeft" activeCell="A6" sqref="A6"/>
    </sheetView>
  </sheetViews>
  <sheetFormatPr defaultRowHeight="15" x14ac:dyDescent="0.25"/>
  <cols>
    <col min="1" max="1" width="188.28515625" customWidth="1"/>
    <col min="2" max="2" width="154.28515625" style="75" customWidth="1"/>
  </cols>
  <sheetData>
    <row r="1" spans="1:16" x14ac:dyDescent="0.25">
      <c r="A1" s="32" t="s">
        <v>36</v>
      </c>
      <c r="C1" s="32"/>
      <c r="D1" s="32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</row>
    <row r="2" spans="1:16" ht="30" customHeight="1" x14ac:dyDescent="0.25">
      <c r="A2" s="25" t="s">
        <v>7</v>
      </c>
      <c r="C2" s="24"/>
      <c r="D2" s="24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spans="1:16" ht="30" customHeight="1" x14ac:dyDescent="0.25">
      <c r="A3" s="18" t="s">
        <v>37</v>
      </c>
    </row>
    <row r="4" spans="1:16" x14ac:dyDescent="0.25">
      <c r="A4" s="19" t="s">
        <v>27</v>
      </c>
    </row>
    <row r="5" spans="1:16" ht="84.95" customHeight="1" x14ac:dyDescent="0.25">
      <c r="A5" s="9" t="s">
        <v>38</v>
      </c>
    </row>
  </sheetData>
  <mergeCells count="1">
    <mergeCell ref="B1:B1048576"/>
  </mergeCells>
  <dataValidations count="1">
    <dataValidation type="textLength" allowBlank="1" showInputMessage="1" showErrorMessage="1" errorTitle="Erro" error="O texto inserido excede o tamanho máximo permitido para esta célula." sqref="A6:A1048576" xr:uid="{00000000-0002-0000-0300-000000000000}">
      <formula1>1</formula1>
      <formula2>50</formula2>
    </dataValidation>
  </dataValidation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E4DA5-2B8B-4A56-90C0-FF7E74F788CE}">
  <dimension ref="A1"/>
  <sheetViews>
    <sheetView workbookViewId="0">
      <selection activeCell="A2" sqref="A2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Nextt</vt:lpstr>
      <vt:lpstr>Cadastro de Produtos</vt:lpstr>
      <vt:lpstr>Cadastro de Pedidos</vt:lpstr>
      <vt:lpstr>Cadastro de Marcas</vt:lpstr>
      <vt:lpstr>Dados Consolidados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stk</dc:creator>
  <cp:lastModifiedBy>stk</cp:lastModifiedBy>
  <dcterms:created xsi:type="dcterms:W3CDTF">2025-03-11T18:40:02Z</dcterms:created>
  <dcterms:modified xsi:type="dcterms:W3CDTF">2025-03-19T17:38:49Z</dcterms:modified>
</cp:coreProperties>
</file>